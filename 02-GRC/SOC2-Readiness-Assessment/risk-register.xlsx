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Heat map (current)" sheetId="3" state="visible" r:id="rId3"/>
  </sheets>
  <definedNames>
    <definedName name="_xlnm._FilterDatabase" localSheetId="1" hidden="1">'Risk register'!$A$1:$T$16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8696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00F8696B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Risk register - Quillfield Systems Inc. (fictional)</t>
        </is>
      </c>
    </row>
    <row r="2">
      <c r="A2" t="inlineStr">
        <is>
          <t>Simulated scenario for a learning and portfolio project. No real company, client or audit.</t>
        </is>
      </c>
    </row>
    <row r="3">
      <c r="A3" t="inlineStr">
        <is>
          <t>Likelihood (L) and impact (I) on a 1-5 scale; score = L x I (formulas).</t>
        </is>
      </c>
    </row>
    <row r="4">
      <c r="A4" t="inlineStr">
        <is>
          <t>Inherent = before any controls. Current residual = with controls as they operate today. Target residual = after the treatment plan is complete.</t>
        </is>
      </c>
    </row>
    <row r="5">
      <c r="A5" t="inlineStr">
        <is>
          <t>Rating bands: 1-4 Low, 5-9 Medium, 10-15 High, 16-25 Critical.</t>
        </is>
      </c>
    </row>
    <row r="6">
      <c r="A6" t="inlineStr"/>
    </row>
    <row r="7">
      <c r="A7" t="inlineStr">
        <is>
          <t>Likelihood: 1 Rare (less than once in 5 years), 2 Unlikely, 3 Possible (once in 1-3 years), 4 Likely (about once a year), 5 Almost certain (already happening or several times a year).</t>
        </is>
      </c>
    </row>
    <row r="8">
      <c r="A8" t="inlineStr">
        <is>
          <t>Impact: 1 Minimal, 2 Minor (internal only), 3 Moderate (one customer affected or contract breach), 4 Major (several customers, regulator notification, SOC 2 exception), 5 Severe (customer financial loss, lost enterprise deal, widespread data exposure).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5" customWidth="1" min="2" max="2"/>
    <col width="24" customWidth="1" min="3" max="3"/>
    <col width="12" customWidth="1" min="4" max="4"/>
    <col width="9" customWidth="1" min="5" max="5"/>
    <col width="9" customWidth="1" min="6" max="6"/>
    <col width="10" customWidth="1" min="7" max="7"/>
    <col width="11" customWidth="1" min="8" max="8"/>
    <col width="9" customWidth="1" min="9" max="9"/>
    <col width="9" customWidth="1" min="10" max="10"/>
    <col width="11" customWidth="1" min="11" max="11"/>
    <col width="11" customWidth="1" min="12" max="12"/>
    <col width="11" customWidth="1" min="13" max="13"/>
    <col width="55" customWidth="1" min="14" max="14"/>
    <col width="22" customWidth="1" min="15" max="15"/>
    <col width="12" customWidth="1" min="16" max="16"/>
    <col width="9" customWidth="1" min="17" max="17"/>
    <col width="9" customWidth="1" min="18" max="18"/>
    <col width="11" customWidth="1" min="19" max="19"/>
    <col width="11" customWidth="1" min="20" max="20"/>
  </cols>
  <sheetData>
    <row r="1">
      <c r="A1" s="2" t="inlineStr">
        <is>
          <t>Risk ID</t>
        </is>
      </c>
      <c r="B1" s="2" t="inlineStr">
        <is>
          <t>Risk description</t>
        </is>
      </c>
      <c r="C1" s="2" t="inlineStr">
        <is>
          <t>Linked controls</t>
        </is>
      </c>
      <c r="D1" s="2" t="inlineStr">
        <is>
          <t>Gap ref</t>
        </is>
      </c>
      <c r="E1" s="2" t="inlineStr">
        <is>
          <t>Inherent L</t>
        </is>
      </c>
      <c r="F1" s="2" t="inlineStr">
        <is>
          <t>Inherent I</t>
        </is>
      </c>
      <c r="G1" s="2" t="inlineStr">
        <is>
          <t>Inherent score</t>
        </is>
      </c>
      <c r="H1" s="2" t="inlineStr">
        <is>
          <t>Inherent rating</t>
        </is>
      </c>
      <c r="I1" s="2" t="inlineStr">
        <is>
          <t>Current L</t>
        </is>
      </c>
      <c r="J1" s="2" t="inlineStr">
        <is>
          <t>Current I</t>
        </is>
      </c>
      <c r="K1" s="2" t="inlineStr">
        <is>
          <t>Current residual score</t>
        </is>
      </c>
      <c r="L1" s="2" t="inlineStr">
        <is>
          <t>Current rating</t>
        </is>
      </c>
      <c r="M1" s="2" t="inlineStr">
        <is>
          <t>Treatment</t>
        </is>
      </c>
      <c r="N1" s="2" t="inlineStr">
        <is>
          <t>Treatment plan</t>
        </is>
      </c>
      <c r="O1" s="2" t="inlineStr">
        <is>
          <t>Owner role</t>
        </is>
      </c>
      <c r="P1" s="2" t="inlineStr">
        <is>
          <t>Target date</t>
        </is>
      </c>
      <c r="Q1" s="2" t="inlineStr">
        <is>
          <t>Target L</t>
        </is>
      </c>
      <c r="R1" s="2" t="inlineStr">
        <is>
          <t>Target I</t>
        </is>
      </c>
      <c r="S1" s="2" t="inlineStr">
        <is>
          <t>Target residual score</t>
        </is>
      </c>
      <c r="T1" s="2" t="inlineStr">
        <is>
          <t>Target rating</t>
        </is>
      </c>
    </row>
    <row r="2">
      <c r="A2" s="3" t="inlineStr">
        <is>
          <t>R-01</t>
        </is>
      </c>
      <c r="B2" s="3" t="inlineStr">
        <is>
          <t>Leaver, contractor or generic accounts stay active and are used to access customer data or systems without authorization.</t>
        </is>
      </c>
      <c r="C2" s="3" t="inlineStr">
        <is>
          <t>AC-01; AC-03; AC-04; AC-05</t>
        </is>
      </c>
      <c r="D2" s="3" t="inlineStr">
        <is>
          <t>G-03; G-04; G-05</t>
        </is>
      </c>
      <c r="E2" s="3" t="n">
        <v>4</v>
      </c>
      <c r="F2" s="3" t="n">
        <v>4</v>
      </c>
      <c r="G2" s="3">
        <f>E2*F2</f>
        <v/>
      </c>
      <c r="H2" s="3">
        <f>IF(G2&gt;=16,"Critical",IF(G2&gt;=10,"High",IF(G2&gt;=5,"Medium","Low")))</f>
        <v/>
      </c>
      <c r="I2" s="3" t="n">
        <v>3</v>
      </c>
      <c r="J2" s="3" t="n">
        <v>4</v>
      </c>
      <c r="K2" s="3">
        <f>I2*J2</f>
        <v/>
      </c>
      <c r="L2" s="3">
        <f>IF(K2&gt;=16,"Critical",IF(K2&gt;=10,"High",IF(K2&gt;=5,"Medium","Low")))</f>
        <v/>
      </c>
      <c r="M2" s="3" t="inlineStr">
        <is>
          <t>Mitigate</t>
        </is>
      </c>
      <c r="N2" s="3" t="inlineStr">
        <is>
          <t>Add contractors to BambooHR with end dates; automate disable via BambooHR-Entra provisioning; assign owners to or remove generic accounts; first quarterly UAR in Q4 2026.</t>
        </is>
      </c>
      <c r="O2" s="3" t="inlineStr">
        <is>
          <t>IT Administrator</t>
        </is>
      </c>
      <c r="P2" s="3" t="inlineStr">
        <is>
          <t>2026-12-23</t>
        </is>
      </c>
      <c r="Q2" s="3" t="n">
        <v>2</v>
      </c>
      <c r="R2" s="3" t="n">
        <v>4</v>
      </c>
      <c r="S2" s="3">
        <f>Q2*R2</f>
        <v/>
      </c>
      <c r="T2" s="3">
        <f>IF(S2&gt;=16,"Critical",IF(S2&gt;=10,"High",IF(S2&gt;=5,"Medium","Low")))</f>
        <v/>
      </c>
    </row>
    <row r="3">
      <c r="A3" s="3" t="inlineStr">
        <is>
          <t>R-02</t>
        </is>
      </c>
      <c r="B3" s="3" t="inlineStr">
        <is>
          <t>Phishing or credential theft leads to account takeover, helped by MFA exclusions and no phishing-resistant MFA for admins (a mailbox compromise already occurred in May 2026).</t>
        </is>
      </c>
      <c r="C3" s="3" t="inlineStr">
        <is>
          <t>AC-02; HR-02; OPS-03</t>
        </is>
      </c>
      <c r="D3" s="3" t="inlineStr">
        <is>
          <t>G-02; G-06</t>
        </is>
      </c>
      <c r="E3" s="3" t="n">
        <v>5</v>
      </c>
      <c r="F3" s="3" t="n">
        <v>4</v>
      </c>
      <c r="G3" s="3">
        <f>E3*F3</f>
        <v/>
      </c>
      <c r="H3" s="3">
        <f>IF(G3&gt;=16,"Critical",IF(G3&gt;=10,"High",IF(G3&gt;=5,"Medium","Low")))</f>
        <v/>
      </c>
      <c r="I3" s="3" t="n">
        <v>4</v>
      </c>
      <c r="J3" s="3" t="n">
        <v>4</v>
      </c>
      <c r="K3" s="3">
        <f>I3*J3</f>
        <v/>
      </c>
      <c r="L3" s="3">
        <f>IF(K3&gt;=16,"Critical",IF(K3&gt;=10,"High",IF(K3&gt;=5,"Medium","Low")))</f>
        <v/>
      </c>
      <c r="M3" s="3" t="inlineStr">
        <is>
          <t>Mitigate</t>
        </is>
      </c>
      <c r="N3" s="3" t="inlineStr">
        <is>
          <t>Empty CA-Exclusions except break-glass; move service accounts to workload identities; require phishing-resistant MFA for admin roles; enrol contractors in training.</t>
        </is>
      </c>
      <c r="O3" s="3" t="inlineStr">
        <is>
          <t>Director, IT &amp; Security</t>
        </is>
      </c>
      <c r="P3" s="3" t="inlineStr">
        <is>
          <t>2026-11-25</t>
        </is>
      </c>
      <c r="Q3" s="3" t="n">
        <v>2</v>
      </c>
      <c r="R3" s="3" t="n">
        <v>4</v>
      </c>
      <c r="S3" s="3">
        <f>Q3*R3</f>
        <v/>
      </c>
      <c r="T3" s="3">
        <f>IF(S3&gt;=16,"Critical",IF(S3&gt;=10,"High",IF(S3&gt;=5,"Medium","Low")))</f>
        <v/>
      </c>
    </row>
    <row r="4">
      <c r="A4" s="3" t="inlineStr">
        <is>
          <t>R-03</t>
        </is>
      </c>
      <c r="B4" s="3" t="inlineStr">
        <is>
          <t>Standing privileged access in Entra ID or the production subscription is misused or compromised, allowing tenant-wide or production-wide changes.</t>
        </is>
      </c>
      <c r="C4" s="3" t="inlineStr">
        <is>
          <t>AC-05; AC-06</t>
        </is>
      </c>
      <c r="D4" s="3" t="inlineStr">
        <is>
          <t>G-03; G-06</t>
        </is>
      </c>
      <c r="E4" s="3" t="n">
        <v>4</v>
      </c>
      <c r="F4" s="3" t="n">
        <v>5</v>
      </c>
      <c r="G4" s="3">
        <f>E4*F4</f>
        <v/>
      </c>
      <c r="H4" s="3">
        <f>IF(G4&gt;=16,"Critical",IF(G4&gt;=10,"High",IF(G4&gt;=5,"Medium","Low")))</f>
        <v/>
      </c>
      <c r="I4" s="3" t="n">
        <v>3</v>
      </c>
      <c r="J4" s="3" t="n">
        <v>5</v>
      </c>
      <c r="K4" s="3">
        <f>I4*J4</f>
        <v/>
      </c>
      <c r="L4" s="3">
        <f>IF(K4&gt;=16,"Critical",IF(K4&gt;=10,"High",IF(K4&gt;=5,"Medium","Low")))</f>
        <v/>
      </c>
      <c r="M4" s="3" t="inlineStr">
        <is>
          <t>Mitigate</t>
        </is>
      </c>
      <c r="N4" s="3" t="inlineStr">
        <is>
          <t>Onboard Global Admin, Privileged Role Admin and Azure Owner/Contributor to PIM with approval; reduce Global Admins to 4; rotate and own service principal secrets.</t>
        </is>
      </c>
      <c r="O4" s="3" t="inlineStr">
        <is>
          <t>Director, IT &amp; Security</t>
        </is>
      </c>
      <c r="P4" s="3" t="inlineStr">
        <is>
          <t>2026-12-18</t>
        </is>
      </c>
      <c r="Q4" s="3" t="n">
        <v>1</v>
      </c>
      <c r="R4" s="3" t="n">
        <v>5</v>
      </c>
      <c r="S4" s="3">
        <f>Q4*R4</f>
        <v/>
      </c>
      <c r="T4" s="3">
        <f>IF(S4&gt;=16,"Critical",IF(S4&gt;=10,"High",IF(S4&gt;=5,"Medium","Low")))</f>
        <v/>
      </c>
    </row>
    <row r="5">
      <c r="A5" s="3" t="inlineStr">
        <is>
          <t>R-04</t>
        </is>
      </c>
      <c r="B5" s="3" t="inlineStr">
        <is>
          <t>A fraudulent or mistaken edit to a customer's payee bank details in the internal admin console redirects customer payments to the wrong account.</t>
        </is>
      </c>
      <c r="C5" s="3" t="inlineStr">
        <is>
          <t>AC-07; OPS-03</t>
        </is>
      </c>
      <c r="D5" s="3" t="inlineStr">
        <is>
          <t>G-07</t>
        </is>
      </c>
      <c r="E5" s="3" t="n">
        <v>4</v>
      </c>
      <c r="F5" s="3" t="n">
        <v>5</v>
      </c>
      <c r="G5" s="3">
        <f>E5*F5</f>
        <v/>
      </c>
      <c r="H5" s="3">
        <f>IF(G5&gt;=16,"Critical",IF(G5&gt;=10,"High",IF(G5&gt;=5,"Medium","Low")))</f>
        <v/>
      </c>
      <c r="I5" s="3" t="n">
        <v>3</v>
      </c>
      <c r="J5" s="3" t="n">
        <v>5</v>
      </c>
      <c r="K5" s="3">
        <f>I5*J5</f>
        <v/>
      </c>
      <c r="L5" s="3">
        <f>IF(K5&gt;=16,"Critical",IF(K5&gt;=10,"High",IF(K5&gt;=5,"Medium","Low")))</f>
        <v/>
      </c>
      <c r="M5" s="3" t="inlineStr">
        <is>
          <t>Mitigate</t>
        </is>
      </c>
      <c r="N5" s="3" t="inlineStr">
        <is>
          <t>Require second-person approval for bank detail edits in the admin console; restrict the permission to a named group; Sentinel rule and weekly review of the edit log until dual approval ships.</t>
        </is>
      </c>
      <c r="O5" s="3" t="inlineStr">
        <is>
          <t>VP Engineering</t>
        </is>
      </c>
      <c r="P5" s="3" t="inlineStr">
        <is>
          <t>2027-01-22</t>
        </is>
      </c>
      <c r="Q5" s="3" t="n">
        <v>1</v>
      </c>
      <c r="R5" s="3" t="n">
        <v>5</v>
      </c>
      <c r="S5" s="3">
        <f>Q5*R5</f>
        <v/>
      </c>
      <c r="T5" s="3">
        <f>IF(S5&gt;=16,"Critical",IF(S5&gt;=10,"High",IF(S5&gt;=5,"Medium","Low")))</f>
        <v/>
      </c>
    </row>
    <row r="6">
      <c r="A6" s="3" t="inlineStr">
        <is>
          <t>R-05</t>
        </is>
      </c>
      <c r="B6" s="3" t="inlineStr">
        <is>
          <t>An unreviewed or unauthorized change reaches production (infrastructure repo without branch protection, direct portal changes, self-approved deployments) and causes an outage or weakens security.</t>
        </is>
      </c>
      <c r="C6" s="3" t="inlineStr">
        <is>
          <t>CHG-01; CHG-02; CHG-03; AC-07</t>
        </is>
      </c>
      <c r="D6" s="3" t="inlineStr">
        <is>
          <t>G-13; G-07</t>
        </is>
      </c>
      <c r="E6" s="3" t="n">
        <v>4</v>
      </c>
      <c r="F6" s="3" t="n">
        <v>4</v>
      </c>
      <c r="G6" s="3">
        <f>E6*F6</f>
        <v/>
      </c>
      <c r="H6" s="3">
        <f>IF(G6&gt;=16,"Critical",IF(G6&gt;=10,"High",IF(G6&gt;=5,"Medium","Low")))</f>
        <v/>
      </c>
      <c r="I6" s="3" t="n">
        <v>3</v>
      </c>
      <c r="J6" s="3" t="n">
        <v>4</v>
      </c>
      <c r="K6" s="3">
        <f>I6*J6</f>
        <v/>
      </c>
      <c r="L6" s="3">
        <f>IF(K6&gt;=16,"Critical",IF(K6&gt;=10,"High",IF(K6&gt;=5,"Medium","Low")))</f>
        <v/>
      </c>
      <c r="M6" s="3" t="inlineStr">
        <is>
          <t>Mitigate</t>
        </is>
      </c>
      <c r="N6" s="3" t="inlineStr">
        <is>
          <t>Apply the standard ruleset to platform-infra; remove admin bypass; enable prevent self-review; move engineers to PIM-eligible access; monthly review of non-pipeline write operations.</t>
        </is>
      </c>
      <c r="O6" s="3" t="inlineStr">
        <is>
          <t>DevOps Lead</t>
        </is>
      </c>
      <c r="P6" s="3" t="inlineStr">
        <is>
          <t>2026-12-23</t>
        </is>
      </c>
      <c r="Q6" s="3" t="n">
        <v>2</v>
      </c>
      <c r="R6" s="3" t="n">
        <v>4</v>
      </c>
      <c r="S6" s="3">
        <f>Q6*R6</f>
        <v/>
      </c>
      <c r="T6" s="3">
        <f>IF(S6&gt;=16,"Critical",IF(S6&gt;=10,"High",IF(S6&gt;=5,"Medium","Low")))</f>
        <v/>
      </c>
    </row>
    <row r="7">
      <c r="A7" s="3" t="inlineStr">
        <is>
          <t>R-06</t>
        </is>
      </c>
      <c r="B7" s="3" t="inlineStr">
        <is>
          <t>A known critical vulnerability in internet-facing or production components is exploited before it is fixed.</t>
        </is>
      </c>
      <c r="C7" s="3" t="inlineStr">
        <is>
          <t>OPS-01; MON-02; CHG-04; AC-10</t>
        </is>
      </c>
      <c r="D7" s="3" t="inlineStr">
        <is>
          <t>G-09</t>
        </is>
      </c>
      <c r="E7" s="3" t="n">
        <v>4</v>
      </c>
      <c r="F7" s="3" t="n">
        <v>5</v>
      </c>
      <c r="G7" s="3">
        <f>E7*F7</f>
        <v/>
      </c>
      <c r="H7" s="3">
        <f>IF(G7&gt;=16,"Critical",IF(G7&gt;=10,"High",IF(G7&gt;=5,"Medium","Low")))</f>
        <v/>
      </c>
      <c r="I7" s="3" t="n">
        <v>3</v>
      </c>
      <c r="J7" s="3" t="n">
        <v>5</v>
      </c>
      <c r="K7" s="3">
        <f>I7*J7</f>
        <v/>
      </c>
      <c r="L7" s="3">
        <f>IF(K7&gt;=16,"Critical",IF(K7&gt;=10,"High",IF(K7&gt;=5,"Medium","Low")))</f>
        <v/>
      </c>
      <c r="M7" s="3" t="inlineStr">
        <is>
          <t>Mitigate</t>
        </is>
      </c>
      <c r="N7" s="3" t="inlineStr">
        <is>
          <t>Approve remediation SLAs and an exception process; clear criticals older than 30 days; fix and retest the open pen test high finding; monthly ageing report to leadership.</t>
        </is>
      </c>
      <c r="O7" s="3" t="inlineStr">
        <is>
          <t>Security Engineer</t>
        </is>
      </c>
      <c r="P7" s="3" t="inlineStr">
        <is>
          <t>2027-01-22</t>
        </is>
      </c>
      <c r="Q7" s="3" t="n">
        <v>2</v>
      </c>
      <c r="R7" s="3" t="n">
        <v>5</v>
      </c>
      <c r="S7" s="3">
        <f>Q7*R7</f>
        <v/>
      </c>
      <c r="T7" s="3">
        <f>IF(S7&gt;=16,"Critical",IF(S7&gt;=10,"High",IF(S7&gt;=5,"Medium","Low")))</f>
        <v/>
      </c>
    </row>
    <row r="8">
      <c r="A8" s="3" t="inlineStr">
        <is>
          <t>R-07</t>
        </is>
      </c>
      <c r="B8" s="3" t="inlineStr">
        <is>
          <t>An intrusion goes undetected or is detected late because key logs are missing, retention is 90 days, and alerts are triaged slowly with no notes.</t>
        </is>
      </c>
      <c r="C8" s="3" t="inlineStr">
        <is>
          <t>OPS-02; OPS-03</t>
        </is>
      </c>
      <c r="D8" s="3" t="inlineStr">
        <is>
          <t>G-10</t>
        </is>
      </c>
      <c r="E8" s="3" t="n">
        <v>4</v>
      </c>
      <c r="F8" s="3" t="n">
        <v>4</v>
      </c>
      <c r="G8" s="3">
        <f>E8*F8</f>
        <v/>
      </c>
      <c r="H8" s="3">
        <f>IF(G8&gt;=16,"Critical",IF(G8&gt;=10,"High",IF(G8&gt;=5,"Medium","Low")))</f>
        <v/>
      </c>
      <c r="I8" s="3" t="n">
        <v>3</v>
      </c>
      <c r="J8" s="3" t="n">
        <v>4</v>
      </c>
      <c r="K8" s="3">
        <f>I8*J8</f>
        <v/>
      </c>
      <c r="L8" s="3">
        <f>IF(K8&gt;=16,"Critical",IF(K8&gt;=10,"High",IF(K8&gt;=5,"Medium","Low")))</f>
        <v/>
      </c>
      <c r="M8" s="3" t="inlineStr">
        <is>
          <t>Mitigate</t>
        </is>
      </c>
      <c r="N8" s="3" t="inlineStr">
        <is>
          <t>Connect GitHub, AKS and Key Vault logs; set 12-month retention (archive tier); define triage SLA and closure reason codes; add after-hours paging for high severity.</t>
        </is>
      </c>
      <c r="O8" s="3" t="inlineStr">
        <is>
          <t>Security Engineer</t>
        </is>
      </c>
      <c r="P8" s="3" t="inlineStr">
        <is>
          <t>2027-01-22</t>
        </is>
      </c>
      <c r="Q8" s="3" t="n">
        <v>2</v>
      </c>
      <c r="R8" s="3" t="n">
        <v>4</v>
      </c>
      <c r="S8" s="3">
        <f>Q8*R8</f>
        <v/>
      </c>
      <c r="T8" s="3">
        <f>IF(S8&gt;=16,"Critical",IF(S8&gt;=10,"High",IF(S8&gt;=5,"Medium","Low")))</f>
        <v/>
      </c>
    </row>
    <row r="9">
      <c r="A9" s="3" t="inlineStr">
        <is>
          <t>R-08</t>
        </is>
      </c>
      <c r="B9" s="3" t="inlineStr">
        <is>
          <t>A security incident is handled poorly and Quillfield misses the 72-hour customer notice in the MSA or its PIPEDA breach reporting and record-keeping obligations.</t>
        </is>
      </c>
      <c r="C9" s="3" t="inlineStr">
        <is>
          <t>OPS-04</t>
        </is>
      </c>
      <c r="D9" s="3" t="inlineStr">
        <is>
          <t>G-11</t>
        </is>
      </c>
      <c r="E9" s="3" t="n">
        <v>3</v>
      </c>
      <c r="F9" s="3" t="n">
        <v>5</v>
      </c>
      <c r="G9" s="3">
        <f>E9*F9</f>
        <v/>
      </c>
      <c r="H9" s="3">
        <f>IF(G9&gt;=16,"Critical",IF(G9&gt;=10,"High",IF(G9&gt;=5,"Medium","Low")))</f>
        <v/>
      </c>
      <c r="I9" s="3" t="n">
        <v>3</v>
      </c>
      <c r="J9" s="3" t="n">
        <v>4</v>
      </c>
      <c r="K9" s="3">
        <f>I9*J9</f>
        <v/>
      </c>
      <c r="L9" s="3">
        <f>IF(K9&gt;=16,"Critical",IF(K9&gt;=10,"High",IF(K9&gt;=5,"Medium","Low")))</f>
        <v/>
      </c>
      <c r="M9" s="3" t="inlineStr">
        <is>
          <t>Mitigate</t>
        </is>
      </c>
      <c r="N9" s="3" t="inlineStr">
        <is>
          <t>Approve IR plan with a PIPEDA breach assessment step and breach record log; run a tabletop; complete a retrospective review of the May 2026 incident.</t>
        </is>
      </c>
      <c r="O9" s="3" t="inlineStr">
        <is>
          <t>Director, IT &amp; Security</t>
        </is>
      </c>
      <c r="P9" s="3" t="inlineStr">
        <is>
          <t>2026-12-18</t>
        </is>
      </c>
      <c r="Q9" s="3" t="n">
        <v>2</v>
      </c>
      <c r="R9" s="3" t="n">
        <v>4</v>
      </c>
      <c r="S9" s="3">
        <f>Q9*R9</f>
        <v/>
      </c>
      <c r="T9" s="3">
        <f>IF(S9&gt;=16,"Critical",IF(S9&gt;=10,"High",IF(S9&gt;=5,"Medium","Low")))</f>
        <v/>
      </c>
    </row>
    <row r="10">
      <c r="A10" s="3" t="inlineStr">
        <is>
          <t>R-09</t>
        </is>
      </c>
      <c r="B10" s="3" t="inlineStr">
        <is>
          <t>Customer data is lost or the service is down for an extended period because backups have never been restored and there is no DR plan.</t>
        </is>
      </c>
      <c r="C10" s="3" t="inlineStr">
        <is>
          <t>OPS-05; BCP-01</t>
        </is>
      </c>
      <c r="D10" s="3" t="inlineStr">
        <is>
          <t>G-12</t>
        </is>
      </c>
      <c r="E10" s="3" t="n">
        <v>3</v>
      </c>
      <c r="F10" s="3" t="n">
        <v>5</v>
      </c>
      <c r="G10" s="3">
        <f>E10*F10</f>
        <v/>
      </c>
      <c r="H10" s="3">
        <f>IF(G10&gt;=16,"Critical",IF(G10&gt;=10,"High",IF(G10&gt;=5,"Medium","Low")))</f>
        <v/>
      </c>
      <c r="I10" s="3" t="n">
        <v>3</v>
      </c>
      <c r="J10" s="3" t="n">
        <v>4</v>
      </c>
      <c r="K10" s="3">
        <f>I10*J10</f>
        <v/>
      </c>
      <c r="L10" s="3">
        <f>IF(K10&gt;=16,"Critical",IF(K10&gt;=10,"High",IF(K10&gt;=5,"Medium","Low")))</f>
        <v/>
      </c>
      <c r="M10" s="3" t="inlineStr">
        <is>
          <t>Mitigate</t>
        </is>
      </c>
      <c r="N10" s="3" t="inlineStr">
        <is>
          <t>Set PITR to 35 days and monthly LTR; enable Blob versioning; perform and document a restore test; write a DR runbook with RTO/RPO and test it.</t>
        </is>
      </c>
      <c r="O10" s="3" t="inlineStr">
        <is>
          <t>CTO</t>
        </is>
      </c>
      <c r="P10" s="3" t="inlineStr">
        <is>
          <t>2027-01-22</t>
        </is>
      </c>
      <c r="Q10" s="3" t="n">
        <v>2</v>
      </c>
      <c r="R10" s="3" t="n">
        <v>4</v>
      </c>
      <c r="S10" s="3">
        <f>Q10*R10</f>
        <v/>
      </c>
      <c r="T10" s="3">
        <f>IF(S10&gt;=16,"Critical",IF(S10&gt;=10,"High",IF(S10&gt;=5,"Medium","Low")))</f>
        <v/>
      </c>
    </row>
    <row r="11">
      <c r="A11" s="3" t="inlineStr">
        <is>
          <t>R-10</t>
        </is>
      </c>
      <c r="B11" s="3" t="inlineStr">
        <is>
          <t>A vendor or subprocessor breach exposes Quillfield or customer data, with no due diligence done and weak contractual remedies.</t>
        </is>
      </c>
      <c r="C11" s="3" t="inlineStr">
        <is>
          <t>VND-01; VND-02; VND-03</t>
        </is>
      </c>
      <c r="D11" s="3" t="inlineStr">
        <is>
          <t>G-14</t>
        </is>
      </c>
      <c r="E11" s="3" t="n">
        <v>3</v>
      </c>
      <c r="F11" s="3" t="n">
        <v>5</v>
      </c>
      <c r="G11" s="3">
        <f>E11*F11</f>
        <v/>
      </c>
      <c r="H11" s="3">
        <f>IF(G11&gt;=16,"Critical",IF(G11&gt;=10,"High",IF(G11&gt;=5,"Medium","Low")))</f>
        <v/>
      </c>
      <c r="I11" s="3" t="n">
        <v>3</v>
      </c>
      <c r="J11" s="3" t="n">
        <v>5</v>
      </c>
      <c r="K11" s="3">
        <f>I11*J11</f>
        <v/>
      </c>
      <c r="L11" s="3">
        <f>IF(K11&gt;=16,"Critical",IF(K11&gt;=10,"High",IF(K11&gt;=5,"Medium","Low")))</f>
        <v/>
      </c>
      <c r="M11" s="3" t="inlineStr">
        <is>
          <t>Mitigate</t>
        </is>
      </c>
      <c r="N11" s="3" t="inlineStr">
        <is>
          <t>Tier all vendors; collect and review SOC 2 reports for Tier 1; file or sign DPAs with Atlassian and the QA firm; add a security tier field as a required step for new vendors in NetSuite.</t>
        </is>
      </c>
      <c r="O11" s="3" t="inlineStr">
        <is>
          <t>Controller</t>
        </is>
      </c>
      <c r="P11" s="3" t="inlineStr">
        <is>
          <t>2027-01-22</t>
        </is>
      </c>
      <c r="Q11" s="3" t="n">
        <v>2</v>
      </c>
      <c r="R11" s="3" t="n">
        <v>4</v>
      </c>
      <c r="S11" s="3">
        <f>Q11*R11</f>
        <v/>
      </c>
      <c r="T11" s="3">
        <f>IF(S11&gt;=16,"Critical",IF(S11&gt;=10,"High",IF(S11&gt;=5,"Medium","Low")))</f>
        <v/>
      </c>
    </row>
    <row r="12">
      <c r="A12" s="3" t="inlineStr">
        <is>
          <t>R-11</t>
        </is>
      </c>
      <c r="B12" s="3" t="inlineStr">
        <is>
          <t>Customer data is exposed from staging, which holds unmasked production copies and is accessed by an offshore contractor through a shared login.</t>
        </is>
      </c>
      <c r="C12" s="3" t="inlineStr">
        <is>
          <t>CONF-03; VND-02; AC-05</t>
        </is>
      </c>
      <c r="D12" s="3" t="inlineStr">
        <is>
          <t>G-15; G-14</t>
        </is>
      </c>
      <c r="E12" s="3" t="n">
        <v>4</v>
      </c>
      <c r="F12" s="3" t="n">
        <v>5</v>
      </c>
      <c r="G12" s="3">
        <f>E12*F12</f>
        <v/>
      </c>
      <c r="H12" s="3">
        <f>IF(G12&gt;=16,"Critical",IF(G12&gt;=10,"High",IF(G12&gt;=5,"Medium","Low")))</f>
        <v/>
      </c>
      <c r="I12" s="3" t="n">
        <v>4</v>
      </c>
      <c r="J12" s="3" t="n">
        <v>5</v>
      </c>
      <c r="K12" s="3">
        <f>I12*J12</f>
        <v/>
      </c>
      <c r="L12" s="3">
        <f>IF(K12&gt;=16,"Critical",IF(K12&gt;=10,"High",IF(K12&gt;=5,"Medium","Low")))</f>
        <v/>
      </c>
      <c r="M12" s="3" t="inlineStr">
        <is>
          <t>Mitigate</t>
        </is>
      </c>
      <c r="N12" s="3" t="inlineStr">
        <is>
          <t>Stop production-to-staging refreshes now; purge existing copies; build masked or synthetic data set; replace shared SQL login with named Entra accounts.</t>
        </is>
      </c>
      <c r="O12" s="3" t="inlineStr">
        <is>
          <t>VP Engineering</t>
        </is>
      </c>
      <c r="P12" s="3" t="inlineStr">
        <is>
          <t>2026-11-25</t>
        </is>
      </c>
      <c r="Q12" s="3" t="n">
        <v>1</v>
      </c>
      <c r="R12" s="3" t="n">
        <v>5</v>
      </c>
      <c r="S12" s="3">
        <f>Q12*R12</f>
        <v/>
      </c>
      <c r="T12" s="3">
        <f>IF(S12&gt;=16,"Critical",IF(S12&gt;=10,"High",IF(S12&gt;=5,"Medium","Low")))</f>
        <v/>
      </c>
    </row>
    <row r="13">
      <c r="A13" s="3" t="inlineStr">
        <is>
          <t>R-12</t>
        </is>
      </c>
      <c r="B13" s="3" t="inlineStr">
        <is>
          <t>Customer data is kept after contract termination, breaching the MSA and the PIPEDA limiting-retention principle.</t>
        </is>
      </c>
      <c r="C13" s="3" t="inlineStr">
        <is>
          <t>CONF-02</t>
        </is>
      </c>
      <c r="D13" s="3" t="inlineStr">
        <is>
          <t>G-15</t>
        </is>
      </c>
      <c r="E13" s="3" t="n">
        <v>5</v>
      </c>
      <c r="F13" s="3" t="n">
        <v>3</v>
      </c>
      <c r="G13" s="3">
        <f>E13*F13</f>
        <v/>
      </c>
      <c r="H13" s="3">
        <f>IF(G13&gt;=16,"Critical",IF(G13&gt;=10,"High",IF(G13&gt;=5,"Medium","Low")))</f>
        <v/>
      </c>
      <c r="I13" s="3" t="n">
        <v>5</v>
      </c>
      <c r="J13" s="3" t="n">
        <v>3</v>
      </c>
      <c r="K13" s="3">
        <f>I13*J13</f>
        <v/>
      </c>
      <c r="L13" s="3">
        <f>IF(K13&gt;=16,"Critical",IF(K13&gt;=10,"High",IF(K13&gt;=5,"Medium","Low")))</f>
        <v/>
      </c>
      <c r="M13" s="3" t="inlineStr">
        <is>
          <t>Mitigate</t>
        </is>
      </c>
      <c r="N13" s="3" t="inlineStr">
        <is>
          <t>Write a deletion runbook; delete the 4 churned customers' data after legal confirms no hold; add a quarterly check of churned customers.</t>
        </is>
      </c>
      <c r="O13" s="3" t="inlineStr">
        <is>
          <t>VP Engineering</t>
        </is>
      </c>
      <c r="P13" s="3" t="inlineStr">
        <is>
          <t>2027-01-22</t>
        </is>
      </c>
      <c r="Q13" s="3" t="n">
        <v>1</v>
      </c>
      <c r="R13" s="3" t="n">
        <v>3</v>
      </c>
      <c r="S13" s="3">
        <f>Q13*R13</f>
        <v/>
      </c>
      <c r="T13" s="3">
        <f>IF(S13&gt;=16,"Critical",IF(S13&gt;=10,"High",IF(S13&gt;=5,"Medium","Low")))</f>
        <v/>
      </c>
    </row>
    <row r="14">
      <c r="A14" s="3" t="inlineStr">
        <is>
          <t>R-13</t>
        </is>
      </c>
      <c r="B14" s="3" t="inlineStr">
        <is>
          <t>Confidential data leaks through anonymous sharing links, unlabelled documents or unmanaged contractor devices.</t>
        </is>
      </c>
      <c r="C14" s="3" t="inlineStr">
        <is>
          <t>CONF-01; CONF-04; AC-12; RISK-02</t>
        </is>
      </c>
      <c r="D14" s="3" t="inlineStr">
        <is>
          <t>G-15; G-08</t>
        </is>
      </c>
      <c r="E14" s="3" t="n">
        <v>4</v>
      </c>
      <c r="F14" s="3" t="n">
        <v>4</v>
      </c>
      <c r="G14" s="3">
        <f>E14*F14</f>
        <v/>
      </c>
      <c r="H14" s="3">
        <f>IF(G14&gt;=16,"Critical",IF(G14&gt;=10,"High",IF(G14&gt;=5,"Medium","Low")))</f>
        <v/>
      </c>
      <c r="I14" s="3" t="n">
        <v>3</v>
      </c>
      <c r="J14" s="3" t="n">
        <v>4</v>
      </c>
      <c r="K14" s="3">
        <f>I14*J14</f>
        <v/>
      </c>
      <c r="L14" s="3">
        <f>IF(K14&gt;=16,"Critical",IF(K14&gt;=10,"High",IF(K14&gt;=5,"Medium","Low")))</f>
        <v/>
      </c>
      <c r="M14" s="3" t="inlineStr">
        <is>
          <t>Mitigate</t>
        </is>
      </c>
      <c r="N14" s="3" t="inlineStr">
        <is>
          <t>Disable 'Anyone' links and expire existing ones; publish sensitivity labels; move DLP to enforce mode; require compliant devices or app protection for contractors.</t>
        </is>
      </c>
      <c r="O14" s="3" t="inlineStr">
        <is>
          <t>IT Administrator</t>
        </is>
      </c>
      <c r="P14" s="3" t="inlineStr">
        <is>
          <t>2027-01-22</t>
        </is>
      </c>
      <c r="Q14" s="3" t="n">
        <v>2</v>
      </c>
      <c r="R14" s="3" t="n">
        <v>3</v>
      </c>
      <c r="S14" s="3">
        <f>Q14*R14</f>
        <v/>
      </c>
      <c r="T14" s="3">
        <f>IF(S14&gt;=16,"Critical",IF(S14&gt;=10,"High",IF(S14&gt;=5,"Medium","Low")))</f>
        <v/>
      </c>
    </row>
    <row r="15">
      <c r="A15" s="3" t="inlineStr">
        <is>
          <t>R-14</t>
        </is>
      </c>
      <c r="B15" s="3" t="inlineStr">
        <is>
          <t>Malware or ransomware on an endpoint spreads to corporate files or developer credentials.</t>
        </is>
      </c>
      <c r="C15" s="3" t="inlineStr">
        <is>
          <t>AC-12; OPS-01; OPS-05</t>
        </is>
      </c>
      <c r="D15" s="3" t="inlineStr">
        <is>
          <t>G-08; G-09</t>
        </is>
      </c>
      <c r="E15" s="3" t="n">
        <v>4</v>
      </c>
      <c r="F15" s="3" t="n">
        <v>4</v>
      </c>
      <c r="G15" s="3">
        <f>E15*F15</f>
        <v/>
      </c>
      <c r="H15" s="3">
        <f>IF(G15&gt;=16,"Critical",IF(G15&gt;=10,"High",IF(G15&gt;=5,"Medium","Low")))</f>
        <v/>
      </c>
      <c r="I15" s="3" t="n">
        <v>2</v>
      </c>
      <c r="J15" s="3" t="n">
        <v>4</v>
      </c>
      <c r="K15" s="3">
        <f>I15*J15</f>
        <v/>
      </c>
      <c r="L15" s="3">
        <f>IF(K15&gt;=16,"Critical",IF(K15&gt;=10,"High",IF(K15&gt;=5,"Medium","Low")))</f>
        <v/>
      </c>
      <c r="M15" s="3" t="inlineStr">
        <is>
          <t>Mitigate</t>
        </is>
      </c>
      <c r="N15" s="3" t="inlineStr">
        <is>
          <t>Onboard the 7 macOS laptops to Defender; enforce patch compliance; cyber insurance partly transfers financial impact.</t>
        </is>
      </c>
      <c r="O15" s="3" t="inlineStr">
        <is>
          <t>IT Administrator</t>
        </is>
      </c>
      <c r="P15" s="3" t="inlineStr">
        <is>
          <t>2026-11-25</t>
        </is>
      </c>
      <c r="Q15" s="3" t="n">
        <v>2</v>
      </c>
      <c r="R15" s="3" t="n">
        <v>3</v>
      </c>
      <c r="S15" s="3">
        <f>Q15*R15</f>
        <v/>
      </c>
      <c r="T15" s="3">
        <f>IF(S15&gt;=16,"Critical",IF(S15&gt;=10,"High",IF(S15&gt;=5,"Medium","Low")))</f>
        <v/>
      </c>
    </row>
    <row r="16">
      <c r="A16" s="3" t="inlineStr">
        <is>
          <t>R-15</t>
        </is>
      </c>
      <c r="B16" s="3" t="inlineStr">
        <is>
          <t>The SOC 2 Type I is delayed or qualified because controls have no owner oversight, policies are unapproved and there is no risk assessment, putting the enterprise contract at risk.</t>
        </is>
      </c>
      <c r="C16" s="3" t="inlineStr">
        <is>
          <t>GOV-01; GOV-03; RISK-01; MON-01</t>
        </is>
      </c>
      <c r="D16" s="3" t="inlineStr">
        <is>
          <t>G-01</t>
        </is>
      </c>
      <c r="E16" s="3" t="n">
        <v>4</v>
      </c>
      <c r="F16" s="3" t="n">
        <v>4</v>
      </c>
      <c r="G16" s="3">
        <f>E16*F16</f>
        <v/>
      </c>
      <c r="H16" s="3">
        <f>IF(G16&gt;=16,"Critical",IF(G16&gt;=10,"High",IF(G16&gt;=5,"Medium","Low")))</f>
        <v/>
      </c>
      <c r="I16" s="3" t="n">
        <v>4</v>
      </c>
      <c r="J16" s="3" t="n">
        <v>4</v>
      </c>
      <c r="K16" s="3">
        <f>I16*J16</f>
        <v/>
      </c>
      <c r="L16" s="3">
        <f>IF(K16&gt;=16,"Critical",IF(K16&gt;=10,"High",IF(K16&gt;=5,"Medium","Low")))</f>
        <v/>
      </c>
      <c r="M16" s="3" t="inlineStr">
        <is>
          <t>Mitigate</t>
        </is>
      </c>
      <c r="N16" s="3" t="inlineStr">
        <is>
          <t>Approve policies; start quarterly leadership security review; accept this risk register; run quarterly control self-assessment; readiness re-check in February 2027.</t>
        </is>
      </c>
      <c r="O16" s="3" t="inlineStr">
        <is>
          <t>CEO</t>
        </is>
      </c>
      <c r="P16" s="3" t="inlineStr">
        <is>
          <t>2027-02-26</t>
        </is>
      </c>
      <c r="Q16" s="3" t="n">
        <v>2</v>
      </c>
      <c r="R16" s="3" t="n">
        <v>4</v>
      </c>
      <c r="S16" s="3">
        <f>Q16*R16</f>
        <v/>
      </c>
      <c r="T16" s="3">
        <f>IF(S16&gt;=16,"Critical",IF(S16&gt;=10,"High",IF(S16&gt;=5,"Medium","Low")))</f>
        <v/>
      </c>
    </row>
  </sheetData>
  <autoFilter ref="A1:T16"/>
  <conditionalFormatting sqref="H2:H16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L2:L16">
    <cfRule type="cellIs" priority="5" operator="equal" dxfId="0">
      <formula>"Critical"</formula>
    </cfRule>
    <cfRule type="cellIs" priority="6" operator="equal" dxfId="1">
      <formula>"High"</formula>
    </cfRule>
    <cfRule type="cellIs" priority="7" operator="equal" dxfId="2">
      <formula>"Medium"</formula>
    </cfRule>
    <cfRule type="cellIs" priority="8" operator="equal" dxfId="3">
      <formula>"Low"</formula>
    </cfRule>
  </conditionalFormatting>
  <conditionalFormatting sqref="T2:T16">
    <cfRule type="cellIs" priority="9" operator="equal" dxfId="0">
      <formula>"Critical"</formula>
    </cfRule>
    <cfRule type="cellIs" priority="10" operator="equal" dxfId="1">
      <formula>"High"</formula>
    </cfRule>
    <cfRule type="cellIs" priority="11" operator="equal" dxfId="2">
      <formula>"Medium"</formula>
    </cfRule>
    <cfRule type="cellIs" priority="12" operator="equal" dxfId="3">
      <formula>"Low"</formula>
    </cfRule>
  </conditionalFormatting>
  <dataValidations count="1">
    <dataValidation sqref="E2:E16 F2:F16 I2:I16 J2:J16 Q2:Q16 R2:R16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Count of risks by current likelihood (rows) and impact (columns)</t>
        </is>
      </c>
    </row>
    <row r="3">
      <c r="A3" t="inlineStr">
        <is>
          <t>L \ I</t>
        </is>
      </c>
      <c r="B3" t="n">
        <v>1</v>
      </c>
      <c r="C3" t="n">
        <v>2</v>
      </c>
      <c r="D3" t="n">
        <v>3</v>
      </c>
      <c r="E3" t="n">
        <v>4</v>
      </c>
      <c r="F3" t="n">
        <v>5</v>
      </c>
    </row>
    <row r="4">
      <c r="A4" t="n">
        <v>5</v>
      </c>
      <c r="B4" s="5">
        <f>COUNTIFS('Risk register'!$I:$I,5,'Risk register'!$J:$J,1)</f>
        <v/>
      </c>
      <c r="C4" s="6">
        <f>COUNTIFS('Risk register'!$I:$I,5,'Risk register'!$J:$J,2)</f>
        <v/>
      </c>
      <c r="D4" s="6">
        <f>COUNTIFS('Risk register'!$I:$I,5,'Risk register'!$J:$J,3)</f>
        <v/>
      </c>
      <c r="E4" s="7">
        <f>COUNTIFS('Risk register'!$I:$I,5,'Risk register'!$J:$J,4)</f>
        <v/>
      </c>
      <c r="F4" s="7">
        <f>COUNTIFS('Risk register'!$I:$I,5,'Risk register'!$J:$J,5)</f>
        <v/>
      </c>
    </row>
    <row r="5">
      <c r="A5" t="n">
        <v>4</v>
      </c>
      <c r="B5" s="8">
        <f>COUNTIFS('Risk register'!$I:$I,4,'Risk register'!$J:$J,1)</f>
        <v/>
      </c>
      <c r="C5" s="5">
        <f>COUNTIFS('Risk register'!$I:$I,4,'Risk register'!$J:$J,2)</f>
        <v/>
      </c>
      <c r="D5" s="6">
        <f>COUNTIFS('Risk register'!$I:$I,4,'Risk register'!$J:$J,3)</f>
        <v/>
      </c>
      <c r="E5" s="7">
        <f>COUNTIFS('Risk register'!$I:$I,4,'Risk register'!$J:$J,4)</f>
        <v/>
      </c>
      <c r="F5" s="7">
        <f>COUNTIFS('Risk register'!$I:$I,4,'Risk register'!$J:$J,5)</f>
        <v/>
      </c>
    </row>
    <row r="6">
      <c r="A6" t="n">
        <v>3</v>
      </c>
      <c r="B6" s="8">
        <f>COUNTIFS('Risk register'!$I:$I,3,'Risk register'!$J:$J,1)</f>
        <v/>
      </c>
      <c r="C6" s="5">
        <f>COUNTIFS('Risk register'!$I:$I,3,'Risk register'!$J:$J,2)</f>
        <v/>
      </c>
      <c r="D6" s="5">
        <f>COUNTIFS('Risk register'!$I:$I,3,'Risk register'!$J:$J,3)</f>
        <v/>
      </c>
      <c r="E6" s="6">
        <f>COUNTIFS('Risk register'!$I:$I,3,'Risk register'!$J:$J,4)</f>
        <v/>
      </c>
      <c r="F6" s="6">
        <f>COUNTIFS('Risk register'!$I:$I,3,'Risk register'!$J:$J,5)</f>
        <v/>
      </c>
    </row>
    <row r="7">
      <c r="A7" t="n">
        <v>2</v>
      </c>
      <c r="B7" s="8">
        <f>COUNTIFS('Risk register'!$I:$I,2,'Risk register'!$J:$J,1)</f>
        <v/>
      </c>
      <c r="C7" s="8">
        <f>COUNTIFS('Risk register'!$I:$I,2,'Risk register'!$J:$J,2)</f>
        <v/>
      </c>
      <c r="D7" s="5">
        <f>COUNTIFS('Risk register'!$I:$I,2,'Risk register'!$J:$J,3)</f>
        <v/>
      </c>
      <c r="E7" s="5">
        <f>COUNTIFS('Risk register'!$I:$I,2,'Risk register'!$J:$J,4)</f>
        <v/>
      </c>
      <c r="F7" s="6">
        <f>COUNTIFS('Risk register'!$I:$I,2,'Risk register'!$J:$J,5)</f>
        <v/>
      </c>
    </row>
    <row r="8">
      <c r="A8" t="n">
        <v>1</v>
      </c>
      <c r="B8" s="8">
        <f>COUNTIFS('Risk register'!$I:$I,1,'Risk register'!$J:$J,1)</f>
        <v/>
      </c>
      <c r="C8" s="8">
        <f>COUNTIFS('Risk register'!$I:$I,1,'Risk register'!$J:$J,2)</f>
        <v/>
      </c>
      <c r="D8" s="8">
        <f>COUNTIFS('Risk register'!$I:$I,1,'Risk register'!$J:$J,3)</f>
        <v/>
      </c>
      <c r="E8" s="8">
        <f>COUNTIFS('Risk register'!$I:$I,1,'Risk register'!$J:$J,4)</f>
        <v/>
      </c>
      <c r="F8" s="5">
        <f>COUNTIFS('Risk register'!$I:$I,1,'Risk register'!$J:$J,5)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2026-10-19T16:52:42Z</dcterms:created>
  <dcterms:modified xmlns:dcterms="http://purl.org/dc/terms/" xmlns:xsi="http://www.w3.org/2001/XMLSchema-instance" xsi:type="dcterms:W3CDTF">2026-10-19T16:52:42Z</dcterms:modified>
</cp:coreProperties>
</file>