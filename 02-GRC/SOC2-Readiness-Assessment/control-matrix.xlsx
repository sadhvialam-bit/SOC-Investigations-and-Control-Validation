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ntrols" sheetId="2" state="visible" r:id="rId2"/>
    <sheet xmlns:r="http://schemas.openxmlformats.org/officeDocument/2006/relationships" name="Summary" sheetId="3" state="visible" r:id="rId3"/>
  </sheets>
  <definedNames>
    <definedName name="_xlnm._FilterDatabase" localSheetId="1" hidden="1">'Controls'!$A$1:$M$41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0" fillId="0" borderId="1" applyAlignment="1" pivotButton="0" quotePrefix="0" xfId="0">
      <alignment vertical="top" wrapText="1"/>
    </xf>
    <xf numFmtId="9" fontId="0" fillId="0" borderId="1" applyAlignment="1" pivotButton="0" quotePrefix="0" xfId="0">
      <alignment vertical="top" wrapText="1"/>
    </xf>
    <xf numFmtId="0" fontId="3" fillId="0" borderId="1" applyAlignment="1" pivotButton="0" quotePrefix="0" xfId="0">
      <alignment vertical="top" wrapText="1"/>
    </xf>
    <xf numFmtId="9" fontId="3" fillId="0"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30" customWidth="1" min="1" max="1"/>
  </cols>
  <sheetData>
    <row r="1">
      <c r="A1" s="1" t="inlineStr">
        <is>
          <t>SOC 2 readiness control matrix - Quillfield Systems Inc.</t>
        </is>
      </c>
    </row>
    <row r="2">
      <c r="A2" t="inlineStr">
        <is>
          <t>Simulated scenario for a learning and portfolio project. Quillfield is fictional; no real company, client or audit is represented.</t>
        </is>
      </c>
    </row>
    <row r="3">
      <c r="A3" t="inlineStr">
        <is>
          <t>Scope: Security (CC1-CC9) and Confidentiality (C1), AICPA 2017 Trust Services Criteria. Status as of October 16, 2026 (simulated).</t>
        </is>
      </c>
    </row>
    <row r="4">
      <c r="A4" t="inlineStr">
        <is>
          <t>ISO refs are ISO/IEC 27001:2022 Annex A (main clauses cited where no Annex A control applies). NIST CSF 2.0 refs are at category level.</t>
        </is>
      </c>
    </row>
    <row r="5">
      <c r="A5" t="inlineStr">
        <is>
          <t>Scoring: Implemented = 2, Partial = 1, Missing = 0. Summary sheet uses live formulas; change a state on the Controls sheet and the score updates.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60" customWidth="1" min="3" max="3"/>
    <col width="18" customWidth="1" min="4" max="4"/>
    <col width="22" customWidth="1" min="5" max="5"/>
    <col width="16" customWidth="1" min="6" max="6"/>
    <col width="24" customWidth="1" min="7" max="7"/>
    <col width="18" customWidth="1" min="8" max="8"/>
    <col width="40" customWidth="1" min="9" max="9"/>
    <col width="13" customWidth="1" min="10" max="10"/>
    <col width="60" customWidth="1" min="11" max="11"/>
    <col width="9" customWidth="1" min="12" max="12"/>
    <col width="14" customWidth="1" min="13" max="13"/>
  </cols>
  <sheetData>
    <row r="1">
      <c r="A1" s="2" t="inlineStr">
        <is>
          <t>Control ID</t>
        </is>
      </c>
      <c r="B1" s="2" t="inlineStr">
        <is>
          <t>Domain</t>
        </is>
      </c>
      <c r="C1" s="2" t="inlineStr">
        <is>
          <t>Control description</t>
        </is>
      </c>
      <c r="D1" s="2" t="inlineStr">
        <is>
          <t>TSC criteria</t>
        </is>
      </c>
      <c r="E1" s="2" t="inlineStr">
        <is>
          <t>ISO 27001:2022 ref</t>
        </is>
      </c>
      <c r="F1" s="2" t="inlineStr">
        <is>
          <t>NIST CSF 2.0 ref</t>
        </is>
      </c>
      <c r="G1" s="2" t="inlineStr">
        <is>
          <t>Owner role</t>
        </is>
      </c>
      <c r="H1" s="2" t="inlineStr">
        <is>
          <t>Frequency</t>
        </is>
      </c>
      <c r="I1" s="2" t="inlineStr">
        <is>
          <t>Evidence expected</t>
        </is>
      </c>
      <c r="J1" s="2" t="inlineStr">
        <is>
          <t>Current state</t>
        </is>
      </c>
      <c r="K1" s="2" t="inlineStr">
        <is>
          <t>Gap notes</t>
        </is>
      </c>
      <c r="L1" s="2" t="inlineStr">
        <is>
          <t>Gap ref</t>
        </is>
      </c>
      <c r="M1" s="2" t="inlineStr">
        <is>
          <t>Risk ref</t>
        </is>
      </c>
    </row>
    <row r="2">
      <c r="A2" s="3" t="inlineStr">
        <is>
          <t>GOV-01</t>
        </is>
      </c>
      <c r="B2" s="3" t="inlineStr">
        <is>
          <t>Control environment and communication</t>
        </is>
      </c>
      <c r="C2" s="3" t="inlineStr">
        <is>
          <t>Information security policy set (access control, change management, vendor risk, incident response, data classification, acceptable use) is approved by the CTO and CEO, published in Confluence and reviewed at least annually.</t>
        </is>
      </c>
      <c r="D2" s="3" t="inlineStr">
        <is>
          <t>CC2.2; CC5.2; CC5.3</t>
        </is>
      </c>
      <c r="E2" s="3" t="inlineStr">
        <is>
          <t>A.5.1; A.5.37</t>
        </is>
      </c>
      <c r="F2" s="3" t="inlineStr">
        <is>
          <t>GV.PO</t>
        </is>
      </c>
      <c r="G2" s="3" t="inlineStr">
        <is>
          <t>Director, IT &amp; Security</t>
        </is>
      </c>
      <c r="H2" s="3" t="inlineStr">
        <is>
          <t>Annual</t>
        </is>
      </c>
      <c r="I2" s="3" t="inlineStr">
        <is>
          <t>Approved policies with version history and approver; Confluence page; annual review log</t>
        </is>
      </c>
      <c r="J2" s="3" t="inlineStr">
        <is>
          <t>Partial</t>
        </is>
      </c>
      <c r="K2" s="3" t="inlineStr">
        <is>
          <t>14 policies drafted in 2024 from a template. 3 approved by the CTO (Mar 2024), 11 never approved, none reviewed since. Several refer to tools no longer used (e.g., on-prem VPN).</t>
        </is>
      </c>
      <c r="L2" s="3" t="inlineStr">
        <is>
          <t>G-01</t>
        </is>
      </c>
      <c r="M2" s="3" t="inlineStr">
        <is>
          <t>R-15</t>
        </is>
      </c>
    </row>
    <row r="3">
      <c r="A3" s="3" t="inlineStr">
        <is>
          <t>GOV-02</t>
        </is>
      </c>
      <c r="B3" s="3" t="inlineStr">
        <is>
          <t>Control environment and communication</t>
        </is>
      </c>
      <c r="C3" s="3" t="inlineStr">
        <is>
          <t>Code of conduct, acceptable use policy and confidentiality agreement are signed at hire (employees and contractors). The handbook describes the disciplinary process for violations.</t>
        </is>
      </c>
      <c r="D3" s="3" t="inlineStr">
        <is>
          <t>CC1.1; CC1.5; C1.1</t>
        </is>
      </c>
      <c r="E3" s="3" t="inlineStr">
        <is>
          <t>A.5.10; A.6.2; A.6.4; A.6.6</t>
        </is>
      </c>
      <c r="F3" s="3" t="inlineStr">
        <is>
          <t>GV.RR</t>
        </is>
      </c>
      <c r="G3" s="3" t="inlineStr">
        <is>
          <t>People Operations Manager</t>
        </is>
      </c>
      <c r="H3" s="3" t="inlineStr">
        <is>
          <t>At hire</t>
        </is>
      </c>
      <c r="I3" s="3" t="inlineStr">
        <is>
          <t>Signed offer letters and contractor agreements with confidentiality clause; BambooHR e-signature report; handbook section on discipline</t>
        </is>
      </c>
      <c r="J3" s="3" t="inlineStr">
        <is>
          <t>Implemented</t>
        </is>
      </c>
      <c r="K3" s="3" t="inlineStr">
        <is>
          <t>10 of 10 sampled 2026 hires signed before start. No annual re-acknowledgement; recommended, not a blocker.</t>
        </is>
      </c>
      <c r="L3" s="3" t="inlineStr"/>
      <c r="M3" s="3" t="inlineStr"/>
    </row>
    <row r="4">
      <c r="A4" s="3" t="inlineStr">
        <is>
          <t>GOV-03</t>
        </is>
      </c>
      <c r="B4" s="3" t="inlineStr">
        <is>
          <t>Control environment and communication</t>
        </is>
      </c>
      <c r="C4" s="3" t="inlineStr">
        <is>
          <t>Leadership receives a quarterly security and compliance update (risk register, open findings, incidents, SOC 2 status) with decisions and owners recorded in minutes. The board receives an annual summary.</t>
        </is>
      </c>
      <c r="D4" s="3" t="inlineStr">
        <is>
          <t>CC1.2; CC2.2; CC4.2</t>
        </is>
      </c>
      <c r="E4" s="3" t="inlineStr">
        <is>
          <t>A.5.4; Cl. 9.3</t>
        </is>
      </c>
      <c r="F4" s="3" t="inlineStr">
        <is>
          <t>GV.OV</t>
        </is>
      </c>
      <c r="G4" s="3" t="inlineStr">
        <is>
          <t>CTO</t>
        </is>
      </c>
      <c r="H4" s="3" t="inlineStr">
        <is>
          <t>Quarterly</t>
        </is>
      </c>
      <c r="I4" s="3" t="inlineStr">
        <is>
          <t>Agenda, slides and minutes; action log; board pack extract</t>
        </is>
      </c>
      <c r="J4" s="3" t="inlineStr">
        <is>
          <t>Missing</t>
        </is>
      </c>
      <c r="K4" s="3" t="inlineStr">
        <is>
          <t>Security is discussed ad hoc in the weekly leadership meeting. No standing agenda item or minutes. June 2026 board pack mentions SOC 2 only as a sales item.</t>
        </is>
      </c>
      <c r="L4" s="3" t="inlineStr">
        <is>
          <t>G-01</t>
        </is>
      </c>
      <c r="M4" s="3" t="inlineStr">
        <is>
          <t>R-15</t>
        </is>
      </c>
    </row>
    <row r="5">
      <c r="A5" s="3" t="inlineStr">
        <is>
          <t>GOV-04</t>
        </is>
      </c>
      <c r="B5" s="3" t="inlineStr">
        <is>
          <t>Control environment and communication</t>
        </is>
      </c>
      <c r="C5" s="3" t="inlineStr">
        <is>
          <t>Org chart is maintained in BambooHR and security responsibilities are written into job descriptions for the Director, IT &amp; Security, Security Engineer, IT Administrator and DevOps Lead.</t>
        </is>
      </c>
      <c r="D5" s="3" t="inlineStr">
        <is>
          <t>CC1.3</t>
        </is>
      </c>
      <c r="E5" s="3" t="inlineStr">
        <is>
          <t>A.5.2</t>
        </is>
      </c>
      <c r="F5" s="3" t="inlineStr">
        <is>
          <t>GV.RR</t>
        </is>
      </c>
      <c r="G5" s="3" t="inlineStr">
        <is>
          <t>People Operations Manager</t>
        </is>
      </c>
      <c r="H5" s="3" t="inlineStr">
        <is>
          <t>On change; reviewed annually</t>
        </is>
      </c>
      <c r="I5" s="3" t="inlineStr">
        <is>
          <t>Org chart export; job descriptions for security roles</t>
        </is>
      </c>
      <c r="J5" s="3" t="inlineStr">
        <is>
          <t>Implemented</t>
        </is>
      </c>
      <c r="K5" s="3" t="inlineStr">
        <is>
          <t>Org chart current as of Sep 30, 2026. Control owner assignments in this matrix still need leadership sign-off (see GOV-03).</t>
        </is>
      </c>
      <c r="L5" s="3" t="inlineStr"/>
      <c r="M5" s="3" t="inlineStr"/>
    </row>
    <row r="6">
      <c r="A6" s="3" t="inlineStr">
        <is>
          <t>GOV-05</t>
        </is>
      </c>
      <c r="B6" s="3" t="inlineStr">
        <is>
          <t>Control environment and communication</t>
        </is>
      </c>
      <c r="C6" s="3" t="inlineStr">
        <is>
          <t>Security and confidentiality commitments are communicated to customers through the MSA, DPA and public trust page. Customers and third parties can report security issues to security@ or the support portal.</t>
        </is>
      </c>
      <c r="D6" s="3" t="inlineStr">
        <is>
          <t>CC2.3; C1.1</t>
        </is>
      </c>
      <c r="E6" s="3" t="inlineStr">
        <is>
          <t>A.5.31; A.6.8</t>
        </is>
      </c>
      <c r="F6" s="3" t="inlineStr">
        <is>
          <t>GV.OC</t>
        </is>
      </c>
      <c r="G6" s="3" t="inlineStr">
        <is>
          <t>Controller</t>
        </is>
      </c>
      <c r="H6" s="3" t="inlineStr">
        <is>
          <t>Annual; on contract change</t>
        </is>
      </c>
      <c r="I6" s="3" t="inlineStr">
        <is>
          <t>MSA and DPA templates; trust page; security@ mailbox routing; sample customer communication</t>
        </is>
      </c>
      <c r="J6" s="3" t="inlineStr">
        <is>
          <t>Implemented</t>
        </is>
      </c>
      <c r="K6" s="3" t="inlineStr">
        <is>
          <t>security@ routes to a shared mailbox monitored by the Security Engineer. Trust page lists 5 subprocessors (see VND-02).</t>
        </is>
      </c>
      <c r="L6" s="3" t="inlineStr"/>
      <c r="M6" s="3" t="inlineStr"/>
    </row>
    <row r="7">
      <c r="A7" s="3" t="inlineStr">
        <is>
          <t>HR-01</t>
        </is>
      </c>
      <c r="B7" s="3" t="inlineStr">
        <is>
          <t>Control environment and communication</t>
        </is>
      </c>
      <c r="C7" s="3" t="inlineStr">
        <is>
          <t>Background checks (criminal record and references) are completed before the start date for employees. Staffing agencies attest to equivalent checks for agency contractors.</t>
        </is>
      </c>
      <c r="D7" s="3" t="inlineStr">
        <is>
          <t>CC1.4</t>
        </is>
      </c>
      <c r="E7" s="3" t="inlineStr">
        <is>
          <t>A.6.1</t>
        </is>
      </c>
      <c r="F7" s="3" t="inlineStr">
        <is>
          <t>GV.RR</t>
        </is>
      </c>
      <c r="G7" s="3" t="inlineStr">
        <is>
          <t>People Operations Manager</t>
        </is>
      </c>
      <c r="H7" s="3" t="inlineStr">
        <is>
          <t>At hire</t>
        </is>
      </c>
      <c r="I7" s="3" t="inlineStr">
        <is>
          <t>Background check completion report; agency contract clause</t>
        </is>
      </c>
      <c r="J7" s="3" t="inlineStr">
        <is>
          <t>Implemented</t>
        </is>
      </c>
      <c r="K7" s="3" t="inlineStr">
        <is>
          <t>10 of 10 sampled 2026 hires checked before start. The offshore QA firm is contracted directly and is covered under VND-02, not here.</t>
        </is>
      </c>
      <c r="L7" s="3" t="inlineStr"/>
      <c r="M7" s="3" t="inlineStr"/>
    </row>
    <row r="8">
      <c r="A8" s="3" t="inlineStr">
        <is>
          <t>HR-02</t>
        </is>
      </c>
      <c r="B8" s="3" t="inlineStr">
        <is>
          <t>Control environment and communication</t>
        </is>
      </c>
      <c r="C8" s="3" t="inlineStr">
        <is>
          <t>Security awareness training is completed within 30 days of hire and annually by all workforce members, including contractors. Phishing simulations run quarterly. Non-completion is escalated to managers.</t>
        </is>
      </c>
      <c r="D8" s="3" t="inlineStr">
        <is>
          <t>CC1.4; CC2.2</t>
        </is>
      </c>
      <c r="E8" s="3" t="inlineStr">
        <is>
          <t>A.6.3</t>
        </is>
      </c>
      <c r="F8" s="3" t="inlineStr">
        <is>
          <t>PR.AT</t>
        </is>
      </c>
      <c r="G8" s="3" t="inlineStr">
        <is>
          <t>Security Engineer</t>
        </is>
      </c>
      <c r="H8" s="3" t="inlineStr">
        <is>
          <t>At hire; annual; quarterly phishing</t>
        </is>
      </c>
      <c r="I8" s="3" t="inlineStr">
        <is>
          <t>Completion report by person; phishing campaign results; escalation emails</t>
        </is>
      </c>
      <c r="J8" s="3" t="inlineStr">
        <is>
          <t>Partial</t>
        </is>
      </c>
      <c r="K8" s="3" t="inlineStr">
        <is>
          <t>2026 completion 71% (96 of 135). Contractors not enrolled. August 2026 phishing click rate 14%. No escalation of non-completion.</t>
        </is>
      </c>
      <c r="L8" s="3" t="inlineStr">
        <is>
          <t>G-02</t>
        </is>
      </c>
      <c r="M8" s="3" t="inlineStr">
        <is>
          <t>R-02</t>
        </is>
      </c>
    </row>
    <row r="9">
      <c r="A9" s="3" t="inlineStr">
        <is>
          <t>RISK-01</t>
        </is>
      </c>
      <c r="B9" s="3" t="inlineStr">
        <is>
          <t>Risk assessment and monitoring</t>
        </is>
      </c>
      <c r="C9" s="3" t="inlineStr">
        <is>
          <t>An annual risk assessment identifies threats to service commitments, including fraud risk and risks from significant changes (new products, vendors, staff). Risks are scored, owned and tracked in a risk register reviewed quarterly, and controls are selected to address them.</t>
        </is>
      </c>
      <c r="D9" s="3" t="inlineStr">
        <is>
          <t>CC3.1; CC3.2; CC3.3; CC3.4; CC5.1</t>
        </is>
      </c>
      <c r="E9" s="3" t="inlineStr">
        <is>
          <t>Cl. 6.1.2; Cl. 8.2 (no direct Annex A control)</t>
        </is>
      </c>
      <c r="F9" s="3" t="inlineStr">
        <is>
          <t>GV.RM; ID.RA</t>
        </is>
      </c>
      <c r="G9" s="3" t="inlineStr">
        <is>
          <t>Director, IT &amp; Security</t>
        </is>
      </c>
      <c r="H9" s="3" t="inlineStr">
        <is>
          <t>Annual; register reviewed quarterly</t>
        </is>
      </c>
      <c r="I9" s="3" t="inlineStr">
        <is>
          <t>Risk assessment report; risk register with owners and target dates; leadership approval</t>
        </is>
      </c>
      <c r="J9" s="3" t="inlineStr">
        <is>
          <t>Missing</t>
        </is>
      </c>
      <c r="K9" s="3" t="inlineStr">
        <is>
          <t>No documented risk assessment. The risk register in this project is a first draft and needs leadership review and acceptance.</t>
        </is>
      </c>
      <c r="L9" s="3" t="inlineStr">
        <is>
          <t>G-01</t>
        </is>
      </c>
      <c r="M9" s="3" t="inlineStr">
        <is>
          <t>R-15</t>
        </is>
      </c>
    </row>
    <row r="10">
      <c r="A10" s="3" t="inlineStr">
        <is>
          <t>RISK-02</t>
        </is>
      </c>
      <c r="B10" s="3" t="inlineStr">
        <is>
          <t>Risk assessment and monitoring</t>
        </is>
      </c>
      <c r="C10" s="3" t="inlineStr">
        <is>
          <t>An inventory of information assets (Azure resources, endpoints, SaaS applications and data stores holding customer data) is maintained with an owner and classification for each item.</t>
        </is>
      </c>
      <c r="D10" s="3" t="inlineStr">
        <is>
          <t>CC2.1; CC3.2; CC6.1</t>
        </is>
      </c>
      <c r="E10" s="3" t="inlineStr">
        <is>
          <t>A.5.9</t>
        </is>
      </c>
      <c r="F10" s="3" t="inlineStr">
        <is>
          <t>ID.AM</t>
        </is>
      </c>
      <c r="G10" s="3" t="inlineStr">
        <is>
          <t>IT Administrator</t>
        </is>
      </c>
      <c r="H10" s="3" t="inlineStr">
        <is>
          <t>Continuous; reconciled quarterly</t>
        </is>
      </c>
      <c r="I10" s="3" t="inlineStr">
        <is>
          <t>Azure Resource Graph export; Intune device list; SaaS register; data store list with classification</t>
        </is>
      </c>
      <c r="J10" s="3" t="inlineStr">
        <is>
          <t>Partial</t>
        </is>
      </c>
      <c r="K10" s="3" t="inlineStr">
        <is>
          <t>Azure and Intune inventories are system-generated and complete. No SaaS register: Defender for Cloud Apps discovery shows 74 apps in use, 19 sanctioned. Customer data stores are not tagged with owner or classification.</t>
        </is>
      </c>
      <c r="L10" s="3" t="inlineStr">
        <is>
          <t>G-08</t>
        </is>
      </c>
      <c r="M10" s="3" t="inlineStr">
        <is>
          <t>R-13</t>
        </is>
      </c>
    </row>
    <row r="11">
      <c r="A11" s="3" t="inlineStr">
        <is>
          <t>MON-01</t>
        </is>
      </c>
      <c r="B11" s="3" t="inlineStr">
        <is>
          <t>Risk assessment and monitoring</t>
        </is>
      </c>
      <c r="C11" s="3" t="inlineStr">
        <is>
          <t>Control owners complete a quarterly self-assessment against this control matrix. Exceptions and deficiencies are logged, assigned and tracked to closure, and reported to leadership through GOV-03.</t>
        </is>
      </c>
      <c r="D11" s="3" t="inlineStr">
        <is>
          <t>CC4.1; CC4.2</t>
        </is>
      </c>
      <c r="E11" s="3" t="inlineStr">
        <is>
          <t>A.5.35; A.5.36; Cl. 9.2</t>
        </is>
      </c>
      <c r="F11" s="3" t="inlineStr">
        <is>
          <t>GV.OV; ID.IM</t>
        </is>
      </c>
      <c r="G11" s="3" t="inlineStr">
        <is>
          <t>Director, IT &amp; Security</t>
        </is>
      </c>
      <c r="H11" s="3" t="inlineStr">
        <is>
          <t>Quarterly</t>
        </is>
      </c>
      <c r="I11" s="3" t="inlineStr">
        <is>
          <t>Self-assessment results; deficiency log with status and dates; evidence of reporting</t>
        </is>
      </c>
      <c r="J11" s="3" t="inlineStr">
        <is>
          <t>Missing</t>
        </is>
      </c>
      <c r="K11" s="3" t="inlineStr">
        <is>
          <t>No monitoring of controls today. A tracker (Jira project or GRC tool) is needed before the Type I date.</t>
        </is>
      </c>
      <c r="L11" s="3" t="inlineStr">
        <is>
          <t>G-01</t>
        </is>
      </c>
      <c r="M11" s="3" t="inlineStr">
        <is>
          <t>R-15</t>
        </is>
      </c>
    </row>
    <row r="12">
      <c r="A12" s="3" t="inlineStr">
        <is>
          <t>MON-02</t>
        </is>
      </c>
      <c r="B12" s="3" t="inlineStr">
        <is>
          <t>Risk assessment and monitoring</t>
        </is>
      </c>
      <c r="C12" s="3" t="inlineStr">
        <is>
          <t>An independent penetration test of the production application and external perimeter is performed annually. Findings are tracked in Jira and retested.</t>
        </is>
      </c>
      <c r="D12" s="3" t="inlineStr">
        <is>
          <t>CC4.1; CC7.1</t>
        </is>
      </c>
      <c r="E12" s="3" t="inlineStr">
        <is>
          <t>A.8.8; A.8.29</t>
        </is>
      </c>
      <c r="F12" s="3" t="inlineStr">
        <is>
          <t>ID.RA; ID.IM</t>
        </is>
      </c>
      <c r="G12" s="3" t="inlineStr">
        <is>
          <t>Director, IT &amp; Security</t>
        </is>
      </c>
      <c r="H12" s="3" t="inlineStr">
        <is>
          <t>Annual</t>
        </is>
      </c>
      <c r="I12" s="3" t="inlineStr">
        <is>
          <t>Pen test report and scope letter; Jira tickets for findings; retest letter</t>
        </is>
      </c>
      <c r="J12" s="3" t="inlineStr">
        <is>
          <t>Partial</t>
        </is>
      </c>
      <c r="K12" s="3" t="inlineStr">
        <is>
          <t>February 2026 test: 2 high, 5 medium. High IDOR on invoice export was fixed and retested. High stored XSS in the payee notes field is still open (about 240 days). No retest booked.</t>
        </is>
      </c>
      <c r="L12" s="3" t="inlineStr">
        <is>
          <t>G-09</t>
        </is>
      </c>
      <c r="M12" s="3" t="inlineStr">
        <is>
          <t>R-06</t>
        </is>
      </c>
    </row>
    <row r="13">
      <c r="A13" s="3" t="inlineStr">
        <is>
          <t>AC-01</t>
        </is>
      </c>
      <c r="B13" s="3" t="inlineStr">
        <is>
          <t>Logical and physical access</t>
        </is>
      </c>
      <c r="C13" s="3" t="inlineStr">
        <is>
          <t>Workforce access to in-scope systems (Azure portal, M365, GitHub Enterprise, Jira/Confluence, Zendesk, internal admin console) uses Entra ID SSO with unique named accounts. Generic or shared accounts are prohibited unless approved and assigned an owner.</t>
        </is>
      </c>
      <c r="D13" s="3" t="inlineStr">
        <is>
          <t>CC6.1</t>
        </is>
      </c>
      <c r="E13" s="3" t="inlineStr">
        <is>
          <t>A.5.16; A.8.5</t>
        </is>
      </c>
      <c r="F13" s="3" t="inlineStr">
        <is>
          <t>PR.AA</t>
        </is>
      </c>
      <c r="G13" s="3" t="inlineStr">
        <is>
          <t>IT Administrator</t>
        </is>
      </c>
      <c r="H13" s="3" t="inlineStr">
        <is>
          <t>Continuous</t>
        </is>
      </c>
      <c r="I13" s="3" t="inlineStr">
        <is>
          <t>SSO configuration per application; Entra enterprise application list; register of approved generic accounts with owners</t>
        </is>
      </c>
      <c r="J13" s="3" t="inlineStr">
        <is>
          <t>Partial</t>
        </is>
      </c>
      <c r="K13" s="3" t="inlineStr">
        <is>
          <t>SSO in place for all listed apps except the Zendesk admin account (local login, shared by 3 support leads). 9 generic accounts in Entra (e.g., support@, finance-ap@, training01) have sign-in enabled and no named owner.</t>
        </is>
      </c>
      <c r="L13" s="3" t="inlineStr">
        <is>
          <t>G-04</t>
        </is>
      </c>
      <c r="M13" s="3" t="inlineStr">
        <is>
          <t>R-01</t>
        </is>
      </c>
    </row>
    <row r="14">
      <c r="A14" s="3" t="inlineStr">
        <is>
          <t>AC-02</t>
        </is>
      </c>
      <c r="B14" s="3" t="inlineStr">
        <is>
          <t>Logical and physical access</t>
        </is>
      </c>
      <c r="C14" s="3" t="inlineStr">
        <is>
          <t>Conditional Access enforces MFA for all users and all cloud apps. Administrators require phishing-resistant MFA. Exclusions are limited to two break-glass accounts whose sign-ins raise an alert.</t>
        </is>
      </c>
      <c r="D14" s="3" t="inlineStr">
        <is>
          <t>CC6.1</t>
        </is>
      </c>
      <c r="E14" s="3" t="inlineStr">
        <is>
          <t>A.8.5; A.5.17</t>
        </is>
      </c>
      <c r="F14" s="3" t="inlineStr">
        <is>
          <t>PR.AA</t>
        </is>
      </c>
      <c r="G14" s="3" t="inlineStr">
        <is>
          <t>Director, IT &amp; Security</t>
        </is>
      </c>
      <c r="H14" s="3" t="inlineStr">
        <is>
          <t>Continuous; exclusions reviewed quarterly</t>
        </is>
      </c>
      <c r="I14" s="3" t="inlineStr">
        <is>
          <t>Conditional Access policy export; exclusion group membership; Sentinel alert rule for break-glass sign-in</t>
        </is>
      </c>
      <c r="J14" s="3" t="inlineStr">
        <is>
          <t>Partial</t>
        </is>
      </c>
      <c r="K14" s="3" t="inlineStr">
        <is>
          <t>'Require MFA - all users' excludes group CA-Exclusions (7 members): 2 break-glass accounts (acceptable), 4 user accounts used as service accounts, and the CFO (excluded since 2024 for a travel issue). No phishing-resistant requirement for admins. No break-glass alert.</t>
        </is>
      </c>
      <c r="L14" s="3" t="inlineStr">
        <is>
          <t>G-06</t>
        </is>
      </c>
      <c r="M14" s="3" t="inlineStr">
        <is>
          <t>R-02</t>
        </is>
      </c>
    </row>
    <row r="15">
      <c r="A15" s="3" t="inlineStr">
        <is>
          <t>AC-03</t>
        </is>
      </c>
      <c r="B15" s="3" t="inlineStr">
        <is>
          <t>Logical and physical access</t>
        </is>
      </c>
      <c r="C15" s="3" t="inlineStr">
        <is>
          <t>Access to in-scope systems is granted only through a Jira Service Management request approved by the manager (and by the system owner for privileged roles). Access is granted through role-based Entra groups.</t>
        </is>
      </c>
      <c r="D15" s="3" t="inlineStr">
        <is>
          <t>CC6.2; CC6.3</t>
        </is>
      </c>
      <c r="E15" s="3" t="inlineStr">
        <is>
          <t>A.5.15; A.5.18</t>
        </is>
      </c>
      <c r="F15" s="3" t="inlineStr">
        <is>
          <t>PR.AA</t>
        </is>
      </c>
      <c r="G15" s="3" t="inlineStr">
        <is>
          <t>IT Administrator</t>
        </is>
      </c>
      <c r="H15" s="3" t="inlineStr">
        <is>
          <t>Per request</t>
        </is>
      </c>
      <c r="I15" s="3" t="inlineStr">
        <is>
          <t>Population of access grants for the period; sampled tickets with approvals; group-to-role mapping</t>
        </is>
      </c>
      <c r="J15" s="3" t="inlineStr">
        <is>
          <t>Partial</t>
        </is>
      </c>
      <c r="K15" s="3" t="inlineStr">
        <is>
          <t>25 grants sampled (Apr-Sep 2026): 16 with ticket and approval, 6 approved in Teams chat only, 3 with no evidence of approval.</t>
        </is>
      </c>
      <c r="L15" s="3" t="inlineStr">
        <is>
          <t>G-05</t>
        </is>
      </c>
      <c r="M15" s="3" t="inlineStr">
        <is>
          <t>R-01</t>
        </is>
      </c>
    </row>
    <row r="16">
      <c r="A16" s="3" t="inlineStr">
        <is>
          <t>AC-04</t>
        </is>
      </c>
      <c r="B16" s="3" t="inlineStr">
        <is>
          <t>Logical and physical access</t>
        </is>
      </c>
      <c r="C16" s="3" t="inlineStr">
        <is>
          <t>Leavers' Entra accounts are disabled within 1 business day of the termination date, triggered by BambooHR. Access to non-SSO apps and the GitHub organization is removed the same day. Contractor end dates are tracked and actioned the same way.</t>
        </is>
      </c>
      <c r="D16" s="3" t="inlineStr">
        <is>
          <t>CC6.2; CC6.3</t>
        </is>
      </c>
      <c r="E16" s="3" t="inlineStr">
        <is>
          <t>A.5.18; A.6.5</t>
        </is>
      </c>
      <c r="F16" s="3" t="inlineStr">
        <is>
          <t>PR.AA</t>
        </is>
      </c>
      <c r="G16" s="3" t="inlineStr">
        <is>
          <t>IT Administrator</t>
        </is>
      </c>
      <c r="H16" s="3" t="inlineStr">
        <is>
          <t>Per termination</t>
        </is>
      </c>
      <c r="I16" s="3" t="inlineStr">
        <is>
          <t>BambooHR termination report; Entra audit log of disable events; offboarding tickets; contractor roster with end dates</t>
        </is>
      </c>
      <c r="J16" s="3" t="inlineStr">
        <is>
          <t>Partial</t>
        </is>
      </c>
      <c r="K16" s="3" t="inlineStr">
        <is>
          <t>14 employee leavers (Apr-Sep 2026): 11 disabled within 1 business day, 1 after 4 days, 2 still enabled at review (37 and 58 days after termination; no sign-ins after termination in Sentinel SigninLogs). 1 leaver stayed in the GitHub org for 23 days. Contractors are not in BambooHR; 6 former contractors still enabled.</t>
        </is>
      </c>
      <c r="L16" s="3" t="inlineStr">
        <is>
          <t>G-04</t>
        </is>
      </c>
      <c r="M16" s="3" t="inlineStr">
        <is>
          <t>R-01</t>
        </is>
      </c>
    </row>
    <row r="17">
      <c r="A17" s="3" t="inlineStr">
        <is>
          <t>AC-05</t>
        </is>
      </c>
      <c r="B17" s="3" t="inlineStr">
        <is>
          <t>Logical and physical access</t>
        </is>
      </c>
      <c r="C17" s="3" t="inlineStr">
        <is>
          <t>Quarterly user access review covering Entra privileged roles, Azure RBAC on the production subscription, GitHub org and teams, Azure SQL logins, Zendesk and the internal admin console. System owners certify each user; IT confirms the population is complete and removes access within 5 business days; the signed review is retained.</t>
        </is>
      </c>
      <c r="D17" s="3" t="inlineStr">
        <is>
          <t>CC6.2; CC6.3</t>
        </is>
      </c>
      <c r="E17" s="3" t="inlineStr">
        <is>
          <t>A.5.18; A.8.2</t>
        </is>
      </c>
      <c r="F17" s="3" t="inlineStr">
        <is>
          <t>PR.AA</t>
        </is>
      </c>
      <c r="G17" s="3" t="inlineStr">
        <is>
          <t>Director, IT &amp; Security (coordinator); system owners (reviewers)</t>
        </is>
      </c>
      <c r="H17" s="3" t="inlineStr">
        <is>
          <t>Quarterly</t>
        </is>
      </c>
      <c r="I17" s="3" t="inlineStr">
        <is>
          <t>System-generated user listings with extraction date and parameters; completeness check; reviewer sign-off; removal tickets</t>
        </is>
      </c>
      <c r="J17" s="3" t="inlineStr">
        <is>
          <t>Missing</t>
        </is>
      </c>
      <c r="K17" s="3" t="inlineStr">
        <is>
          <t>No review in 2026. A November 2025 Azure RBAC review was a spreadsheet with no reviewer sign-off and no evidence the changes were made. First review must be completed in Q4 2026 so one full cycle exists before the Type I date.</t>
        </is>
      </c>
      <c r="L17" s="3" t="inlineStr">
        <is>
          <t>G-03</t>
        </is>
      </c>
      <c r="M17" s="3" t="inlineStr">
        <is>
          <t>R-01; R-03; R-11</t>
        </is>
      </c>
    </row>
    <row r="18">
      <c r="A18" s="3" t="inlineStr">
        <is>
          <t>AC-06</t>
        </is>
      </c>
      <c r="B18" s="3" t="inlineStr">
        <is>
          <t>Logical and physical access</t>
        </is>
      </c>
      <c r="C18" s="3" t="inlineStr">
        <is>
          <t>Privileged and non-human identities: Entra and Azure privileged roles are eligible-only through Privileged Identity Management (PIM) with approval and justification. Global Administrators are limited to 4 plus break-glass. Service principal secrets are stored in Key Vault, expire within 12 months and have a named owner; workload identity federation is preferred.</t>
        </is>
      </c>
      <c r="D18" s="3" t="inlineStr">
        <is>
          <t>CC6.1; CC6.3</t>
        </is>
      </c>
      <c r="E18" s="3" t="inlineStr">
        <is>
          <t>A.8.2; A.5.17</t>
        </is>
      </c>
      <c r="F18" s="3" t="inlineStr">
        <is>
          <t>PR.AA</t>
        </is>
      </c>
      <c r="G18" s="3" t="inlineStr">
        <is>
          <t>Director, IT &amp; Security</t>
        </is>
      </c>
      <c r="H18" s="3" t="inlineStr">
        <is>
          <t>Continuous; reviewed in AC-05</t>
        </is>
      </c>
      <c r="I18" s="3" t="inlineStr">
        <is>
          <t>PIM role settings; role assignment export; app registration credential report</t>
        </is>
      </c>
      <c r="J18" s="3" t="inlineStr">
        <is>
          <t>Partial</t>
        </is>
      </c>
      <c r="K18" s="3" t="inlineStr">
        <is>
          <t>Entra ID P2 is licensed but PIM is not used: 5 permanent Global Admins plus 2 break-glass; 4 Owners and 7 Contributors with standing access to the production subscription. 31 app registrations: 12 use client secrets, 5 valid for more than 12 months, 2 expired but not removed, 4 with no owner. GitHub Actions already uses OIDC.</t>
        </is>
      </c>
      <c r="L18" s="3" t="inlineStr">
        <is>
          <t>G-06</t>
        </is>
      </c>
      <c r="M18" s="3" t="inlineStr">
        <is>
          <t>R-03</t>
        </is>
      </c>
    </row>
    <row r="19">
      <c r="A19" s="3" t="inlineStr">
        <is>
          <t>AC-07</t>
        </is>
      </c>
      <c r="B19" s="3" t="inlineStr">
        <is>
          <t>Logical and physical access</t>
        </is>
      </c>
      <c r="C19" s="3" t="inlineStr">
        <is>
          <t>Segregation of duties: a documented SoD matrix lists conflicting roles (code author vs. approver vs. deployer; access requester vs. approver; editing customer payee bank details vs. approving the edit). Conflicts are prevented by system configuration or mitigated by a documented review.</t>
        </is>
      </c>
      <c r="D19" s="3" t="inlineStr">
        <is>
          <t>CC5.1; CC6.3</t>
        </is>
      </c>
      <c r="E19" s="3" t="inlineStr">
        <is>
          <t>A.5.3</t>
        </is>
      </c>
      <c r="F19" s="3" t="inlineStr">
        <is>
          <t>PR.AA</t>
        </is>
      </c>
      <c r="G19" s="3" t="inlineStr">
        <is>
          <t>VP Engineering</t>
        </is>
      </c>
      <c r="H19" s="3" t="inlineStr">
        <is>
          <t>Annual; checked in AC-05</t>
        </is>
      </c>
      <c r="I19" s="3" t="inlineStr">
        <is>
          <t>SoD matrix; configuration showing enforcement; conflict report and mitigating review</t>
        </is>
      </c>
      <c r="J19" s="3" t="inlineStr">
        <is>
          <t>Missing</t>
        </is>
      </c>
      <c r="K19" s="3" t="inlineStr">
        <is>
          <t>No SoD matrix. Production deployment environment does not have 'prevent self-review' enabled: 3 of 25 deployments approved by the person who triggered them. Tier 2 support can edit customers' payee bank details in the internal admin console with no second approval; edits are logged in the app audit table but nobody reviews them.</t>
        </is>
      </c>
      <c r="L19" s="3" t="inlineStr">
        <is>
          <t>G-07</t>
        </is>
      </c>
      <c r="M19" s="3" t="inlineStr">
        <is>
          <t>R-04; R-05</t>
        </is>
      </c>
    </row>
    <row r="20">
      <c r="A20" s="3" t="inlineStr">
        <is>
          <t>AC-08</t>
        </is>
      </c>
      <c r="B20" s="3" t="inlineStr">
        <is>
          <t>Logical and physical access</t>
        </is>
      </c>
      <c r="C20" s="3" t="inlineStr">
        <is>
          <t>Physical security of production is provided by Microsoft Azure as a carved-out subservice organization, relied on through the annual SOC 2 report review (VND-03). The Toronto office uses badge access and holds no servers or customer data.</t>
        </is>
      </c>
      <c r="D20" s="3" t="inlineStr">
        <is>
          <t>CC6.4</t>
        </is>
      </c>
      <c r="E20" s="3" t="inlineStr">
        <is>
          <t>A.7.1; A.7.2; A.5.23</t>
        </is>
      </c>
      <c r="F20" s="3" t="inlineStr">
        <is>
          <t>PR.AA</t>
        </is>
      </c>
      <c r="G20" s="3" t="inlineStr">
        <is>
          <t>IT Administrator</t>
        </is>
      </c>
      <c r="H20" s="3" t="inlineStr">
        <is>
          <t>Annual</t>
        </is>
      </c>
      <c r="I20" s="3" t="inlineStr">
        <is>
          <t>Azure SOC 2 report and review memo (VND-03); badge system user list; confirmation of no on-premises servers</t>
        </is>
      </c>
      <c r="J20" s="3" t="inlineStr">
        <is>
          <t>Implemented</t>
        </is>
      </c>
      <c r="K20" s="3" t="inlineStr">
        <is>
          <t>Design is appropriate for a cloud-only company. Reliance on Azure must be evidenced through VND-03.</t>
        </is>
      </c>
      <c r="L20" s="3" t="inlineStr"/>
      <c r="M20" s="3" t="inlineStr"/>
    </row>
    <row r="21">
      <c r="A21" s="3" t="inlineStr">
        <is>
          <t>AC-09</t>
        </is>
      </c>
      <c r="B21" s="3" t="inlineStr">
        <is>
          <t>Logical and physical access</t>
        </is>
      </c>
      <c r="C21" s="3" t="inlineStr">
        <is>
          <t>Returned or retired laptops are wiped through Intune, or the disk is destroyed by a certified vendor, before reuse or disposal. A record is kept by serial number.</t>
        </is>
      </c>
      <c r="D21" s="3" t="inlineStr">
        <is>
          <t>CC6.5</t>
        </is>
      </c>
      <c r="E21" s="3" t="inlineStr">
        <is>
          <t>A.7.14; A.8.10</t>
        </is>
      </c>
      <c r="F21" s="3" t="inlineStr">
        <is>
          <t>PR.DS</t>
        </is>
      </c>
      <c r="G21" s="3" t="inlineStr">
        <is>
          <t>IT Administrator</t>
        </is>
      </c>
      <c r="H21" s="3" t="inlineStr">
        <is>
          <t>Per device</t>
        </is>
      </c>
      <c r="I21" s="3" t="inlineStr">
        <is>
          <t>Intune wipe log; certificates of destruction; asset register status</t>
        </is>
      </c>
      <c r="J21" s="3" t="inlineStr">
        <is>
          <t>Implemented</t>
        </is>
      </c>
      <c r="K21" s="3" t="inlineStr">
        <is>
          <t>12 devices retired in 2026, all with a wipe log entry or certificate of destruction.</t>
        </is>
      </c>
      <c r="L21" s="3" t="inlineStr"/>
      <c r="M21" s="3" t="inlineStr"/>
    </row>
    <row r="22">
      <c r="A22" s="3" t="inlineStr">
        <is>
          <t>AC-10</t>
        </is>
      </c>
      <c r="B22" s="3" t="inlineStr">
        <is>
          <t>Logical and physical access</t>
        </is>
      </c>
      <c r="C22" s="3" t="inlineStr">
        <is>
          <t>Production network: Azure SQL and Storage use private endpoints; NSGs deny inbound traffic by default; public traffic reaches the app only through Azure Front Door with WAF in prevention mode; no management ports are open to the internet.</t>
        </is>
      </c>
      <c r="D22" s="3" t="inlineStr">
        <is>
          <t>CC6.6</t>
        </is>
      </c>
      <c r="E22" s="3" t="inlineStr">
        <is>
          <t>A.8.20; A.8.22</t>
        </is>
      </c>
      <c r="F22" s="3" t="inlineStr">
        <is>
          <t>PR.IR</t>
        </is>
      </c>
      <c r="G22" s="3" t="inlineStr">
        <is>
          <t>DevOps Lead</t>
        </is>
      </c>
      <c r="H22" s="3" t="inlineStr">
        <is>
          <t>Continuous; reviewed quarterly</t>
        </is>
      </c>
      <c r="I22" s="3" t="inlineStr">
        <is>
          <t>Network diagram; NSG rule export; Front Door WAF policy; Tenable external scan</t>
        </is>
      </c>
      <c r="J22" s="3" t="inlineStr">
        <is>
          <t>Implemented</t>
        </is>
      </c>
      <c r="K22" s="3" t="inlineStr">
        <is>
          <t>Observation: Tenable external scan found a staging jump host with RDP (3389) open to the internet; closed Oct 7, 2026. Recommend an Azure Policy deny rule for internet-facing management ports.</t>
        </is>
      </c>
      <c r="L22" s="3" t="inlineStr"/>
      <c r="M22" s="3" t="inlineStr">
        <is>
          <t>R-06</t>
        </is>
      </c>
    </row>
    <row r="23">
      <c r="A23" s="3" t="inlineStr">
        <is>
          <t>AC-11</t>
        </is>
      </c>
      <c r="B23" s="3" t="inlineStr">
        <is>
          <t>Logical and physical access</t>
        </is>
      </c>
      <c r="C23" s="3" t="inlineStr">
        <is>
          <t>Customer data is encrypted in transit (TLS 1.2 or higher) and at rest (Azure SQL TDE; Storage encryption with customer-managed keys in Key Vault). Key Vault access is restricted and logged.</t>
        </is>
      </c>
      <c r="D23" s="3" t="inlineStr">
        <is>
          <t>CC6.1; CC6.7; C1.1</t>
        </is>
      </c>
      <c r="E23" s="3" t="inlineStr">
        <is>
          <t>A.8.24</t>
        </is>
      </c>
      <c r="F23" s="3" t="inlineStr">
        <is>
          <t>PR.DS</t>
        </is>
      </c>
      <c r="G23" s="3" t="inlineStr">
        <is>
          <t>DevOps Lead</t>
        </is>
      </c>
      <c r="H23" s="3" t="inlineStr">
        <is>
          <t>Continuous</t>
        </is>
      </c>
      <c r="I23" s="3" t="inlineStr">
        <is>
          <t>TLS scan results; TDE and storage encryption settings; Key Vault RBAC and diagnostic settings</t>
        </is>
      </c>
      <c r="J23" s="3" t="inlineStr">
        <is>
          <t>Implemented</t>
        </is>
      </c>
      <c r="K23" s="3" t="inlineStr">
        <is>
          <t>Confirmed from configuration screenshots. Minimum TLS 1.2 set on Storage and SQL. Key Vault logs are not yet in Sentinel (see OPS-02).</t>
        </is>
      </c>
      <c r="L23" s="3" t="inlineStr"/>
      <c r="M23" s="3" t="inlineStr"/>
    </row>
    <row r="24">
      <c r="A24" s="3" t="inlineStr">
        <is>
          <t>AC-12</t>
        </is>
      </c>
      <c r="B24" s="3" t="inlineStr">
        <is>
          <t>Logical and physical access</t>
        </is>
      </c>
      <c r="C24" s="3" t="inlineStr">
        <is>
          <t>Corporate endpoints are enrolled in Intune with a compliance policy (disk encryption, OS patch level, screen lock) and onboarded to Defender for Endpoint. Conditional Access blocks non-compliant devices from M365 and the Azure portal.</t>
        </is>
      </c>
      <c r="D24" s="3" t="inlineStr">
        <is>
          <t>CC6.7; CC6.8</t>
        </is>
      </c>
      <c r="E24" s="3" t="inlineStr">
        <is>
          <t>A.8.1; A.8.7</t>
        </is>
      </c>
      <c r="F24" s="3" t="inlineStr">
        <is>
          <t>PR.PS</t>
        </is>
      </c>
      <c r="G24" s="3" t="inlineStr">
        <is>
          <t>IT Administrator</t>
        </is>
      </c>
      <c r="H24" s="3" t="inlineStr">
        <is>
          <t>Continuous</t>
        </is>
      </c>
      <c r="I24" s="3" t="inlineStr">
        <is>
          <t>Intune compliance report; Defender device inventory; Conditional Access policy requiring a compliant device</t>
        </is>
      </c>
      <c r="J24" s="3" t="inlineStr">
        <is>
          <t>Partial</t>
        </is>
      </c>
      <c r="K24" s="3" t="inlineStr">
        <is>
          <t>128 Intune devices: 9 non-compliant (OS updates older than 30 days); 7 macOS developer laptops not onboarded to Defender. The 14 contractors are excluded from the compliant-device policy and use unmanaged devices with full M365 web access.</t>
        </is>
      </c>
      <c r="L24" s="3" t="inlineStr">
        <is>
          <t>G-08</t>
        </is>
      </c>
      <c r="M24" s="3" t="inlineStr">
        <is>
          <t>R-13; R-14</t>
        </is>
      </c>
    </row>
    <row r="25">
      <c r="A25" s="3" t="inlineStr">
        <is>
          <t>OPS-01</t>
        </is>
      </c>
      <c r="B25" s="3" t="inlineStr">
        <is>
          <t>System operations</t>
        </is>
      </c>
      <c r="C25" s="3" t="inlineStr">
        <is>
          <t>Vulnerability and configuration management: Tenable scans Azure VMs and the external surface weekly; Defender for Cloud assesses container images and Azure configuration against the Microsoft cloud security benchmark. Findings are fixed within SLA (critical 15 days, high 30 days) or have an approved exception.</t>
        </is>
      </c>
      <c r="D25" s="3" t="inlineStr">
        <is>
          <t>CC7.1</t>
        </is>
      </c>
      <c r="E25" s="3" t="inlineStr">
        <is>
          <t>A.8.8; A.8.9</t>
        </is>
      </c>
      <c r="F25" s="3" t="inlineStr">
        <is>
          <t>ID.RA; PR.PS</t>
        </is>
      </c>
      <c r="G25" s="3" t="inlineStr">
        <is>
          <t>Security Engineer</t>
        </is>
      </c>
      <c r="H25" s="3" t="inlineStr">
        <is>
          <t>Weekly scans; monthly SLA report</t>
        </is>
      </c>
      <c r="I25" s="3" t="inlineStr">
        <is>
          <t>Scan schedules; vulnerability ageing report; secure score history; exception register</t>
        </is>
      </c>
      <c r="J25" s="3" t="inlineStr">
        <is>
          <t>Partial</t>
        </is>
      </c>
      <c r="K25" s="3" t="inlineStr">
        <is>
          <t>Scanning is in place but no SLA is defined. 27 critical and 64 high findings open; 18 criticals older than 30 days (oldest 112 days). Defender for Cloud secure score 58%. No exception process.</t>
        </is>
      </c>
      <c r="L25" s="3" t="inlineStr">
        <is>
          <t>G-09</t>
        </is>
      </c>
      <c r="M25" s="3" t="inlineStr">
        <is>
          <t>R-06; R-14</t>
        </is>
      </c>
    </row>
    <row r="26">
      <c r="A26" s="3" t="inlineStr">
        <is>
          <t>OPS-02</t>
        </is>
      </c>
      <c r="B26" s="3" t="inlineStr">
        <is>
          <t>System operations</t>
        </is>
      </c>
      <c r="C26" s="3" t="inlineStr">
        <is>
          <t>Security logs from Entra ID, Azure Activity, Key Vault, AKS, Azure SQL auditing, M365, Defender XDR and the GitHub audit log are sent to Microsoft Sentinel and retained for at least 12 months.</t>
        </is>
      </c>
      <c r="D26" s="3" t="inlineStr">
        <is>
          <t>CC7.2</t>
        </is>
      </c>
      <c r="E26" s="3" t="inlineStr">
        <is>
          <t>A.8.15</t>
        </is>
      </c>
      <c r="F26" s="3" t="inlineStr">
        <is>
          <t>PR.PS; DE.CM</t>
        </is>
      </c>
      <c r="G26" s="3" t="inlineStr">
        <is>
          <t>Security Engineer</t>
        </is>
      </c>
      <c r="H26" s="3" t="inlineStr">
        <is>
          <t>Continuous; connector health reviewed monthly</t>
        </is>
      </c>
      <c r="I26" s="3" t="inlineStr">
        <is>
          <t>Sentinel data connector list; Log Analytics retention settings; sample queries showing recent ingestion</t>
        </is>
      </c>
      <c r="J26" s="3" t="inlineStr">
        <is>
          <t>Partial</t>
        </is>
      </c>
      <c r="K26" s="3" t="inlineStr">
        <is>
          <t>Connected: Entra ID, Azure Activity, Defender XDR, Defender for Cloud, M365. Not connected: GitHub audit log, AKS control plane logs, Key Vault diagnostics. Workspace retention is 90 days; the draft enterprise MSA requires 12 months.</t>
        </is>
      </c>
      <c r="L26" s="3" t="inlineStr">
        <is>
          <t>G-10</t>
        </is>
      </c>
      <c r="M26" s="3" t="inlineStr">
        <is>
          <t>R-07</t>
        </is>
      </c>
    </row>
    <row r="27">
      <c r="A27" s="3" t="inlineStr">
        <is>
          <t>OPS-03</t>
        </is>
      </c>
      <c r="B27" s="3" t="inlineStr">
        <is>
          <t>System operations</t>
        </is>
      </c>
      <c r="C27" s="3" t="inlineStr">
        <is>
          <t>Sentinel analytics rules and Defender XDR alerts create incidents that the security on-call triages within 4 business hours for high severity. Triage notes and the closure reason are recorded.</t>
        </is>
      </c>
      <c r="D27" s="3" t="inlineStr">
        <is>
          <t>CC7.2; CC7.3</t>
        </is>
      </c>
      <c r="E27" s="3" t="inlineStr">
        <is>
          <t>A.8.16; A.5.25</t>
        </is>
      </c>
      <c r="F27" s="3" t="inlineStr">
        <is>
          <t>DE.CM; DE.AE</t>
        </is>
      </c>
      <c r="G27" s="3" t="inlineStr">
        <is>
          <t>Security Engineer</t>
        </is>
      </c>
      <c r="H27" s="3" t="inlineStr">
        <is>
          <t>Continuous</t>
        </is>
      </c>
      <c r="I27" s="3" t="inlineStr">
        <is>
          <t>Incident export with timestamps and closure comments; on-call schedule; analytics rule list</t>
        </is>
      </c>
      <c r="J27" s="3" t="inlineStr">
        <is>
          <t>Partial</t>
        </is>
      </c>
      <c r="K27" s="3" t="inlineStr">
        <is>
          <t>312 incidents Jul-Sep 2026: median time to acknowledge 19 hours; 61% closed with no comment; no after-hours coverage. Mostly default rules; none for payee bank detail edits in the admin console.</t>
        </is>
      </c>
      <c r="L27" s="3" t="inlineStr">
        <is>
          <t>G-10</t>
        </is>
      </c>
      <c r="M27" s="3" t="inlineStr">
        <is>
          <t>R-04; R-07</t>
        </is>
      </c>
    </row>
    <row r="28">
      <c r="A28" s="3" t="inlineStr">
        <is>
          <t>OPS-04</t>
        </is>
      </c>
      <c r="B28" s="3" t="inlineStr">
        <is>
          <t>System operations</t>
        </is>
      </c>
      <c r="C28" s="3" t="inlineStr">
        <is>
          <t>The incident response plan defines severity levels, roles, escalation, evidence handling, customer notification (72 hours per MSA) and PIPEDA breach assessment, reporting and record-keeping. The plan is tested by an annual tabletop and post-incident reviews are completed for Sev 1 and 2 incidents.</t>
        </is>
      </c>
      <c r="D28" s="3" t="inlineStr">
        <is>
          <t>CC7.3; CC7.4; CC7.5</t>
        </is>
      </c>
      <c r="E28" s="3" t="inlineStr">
        <is>
          <t>A.5.24; A.5.25; A.5.26; A.5.27; A.5.28</t>
        </is>
      </c>
      <c r="F28" s="3" t="inlineStr">
        <is>
          <t>RS.MA; RS.AN; RS.CO; RS.MI; RC.RP</t>
        </is>
      </c>
      <c r="G28" s="3" t="inlineStr">
        <is>
          <t>Director, IT &amp; Security</t>
        </is>
      </c>
      <c r="H28" s="3" t="inlineStr">
        <is>
          <t>Annual review and tabletop; review per incident</t>
        </is>
      </c>
      <c r="I28" s="3" t="inlineStr">
        <is>
          <t>Approved IR plan; tabletop report; incident tickets; post-incident review; breach record log</t>
        </is>
      </c>
      <c r="J28" s="3" t="inlineStr">
        <is>
          <t>Partial</t>
        </is>
      </c>
      <c r="K28" s="3" t="inlineStr">
        <is>
          <t>IR plan v0.3 (Confluence, 2025) is unapproved and untested. The May 2026 mailbox compromise (account executive, phishing) was handled ad hoc: no post-incident review, no documented assessment of whether it was a breach of security safeguards under PIPEDA, no breach record.</t>
        </is>
      </c>
      <c r="L28" s="3" t="inlineStr">
        <is>
          <t>G-11</t>
        </is>
      </c>
      <c r="M28" s="3" t="inlineStr">
        <is>
          <t>R-08</t>
        </is>
      </c>
    </row>
    <row r="29">
      <c r="A29" s="3" t="inlineStr">
        <is>
          <t>OPS-05</t>
        </is>
      </c>
      <c r="B29" s="3" t="inlineStr">
        <is>
          <t>System operations</t>
        </is>
      </c>
      <c r="C29" s="3" t="inlineStr">
        <is>
          <t>Azure SQL point-in-time restore (35 days) and long-term retention (monthly, 12 months) on geo-redundant storage; Blob versioning and soft delete enabled. Restores are tested twice a year and the results documented.</t>
        </is>
      </c>
      <c r="D29" s="3" t="inlineStr">
        <is>
          <t>CC7.5; CC9.1</t>
        </is>
      </c>
      <c r="E29" s="3" t="inlineStr">
        <is>
          <t>A.8.13; A.8.14</t>
        </is>
      </c>
      <c r="F29" s="3" t="inlineStr">
        <is>
          <t>PR.DS; RC.RP</t>
        </is>
      </c>
      <c r="G29" s="3" t="inlineStr">
        <is>
          <t>DevOps Lead</t>
        </is>
      </c>
      <c r="H29" s="3" t="inlineStr">
        <is>
          <t>Continuous; restore test semi-annual</t>
        </is>
      </c>
      <c r="I29" s="3" t="inlineStr">
        <is>
          <t>Backup policy configuration; restore test record with time taken and data point restored</t>
        </is>
      </c>
      <c r="J29" s="3" t="inlineStr">
        <is>
          <t>Partial</t>
        </is>
      </c>
      <c r="K29" s="3" t="inlineStr">
        <is>
          <t>Point-in-time restore at the 7-day default; no long-term retention; geo-redundant storage enabled. Blob soft delete 7 days, versioning off. No restore test has ever been documented.</t>
        </is>
      </c>
      <c r="L29" s="3" t="inlineStr">
        <is>
          <t>G-12</t>
        </is>
      </c>
      <c r="M29" s="3" t="inlineStr">
        <is>
          <t>R-09; R-14</t>
        </is>
      </c>
    </row>
    <row r="30">
      <c r="A30" s="3" t="inlineStr">
        <is>
          <t>CHG-01</t>
        </is>
      </c>
      <c r="B30" s="3" t="inlineStr">
        <is>
          <t>Change management</t>
        </is>
      </c>
      <c r="C30" s="3" t="inlineStr">
        <is>
          <t>Production changes are raised as Jira tickets linked to the pull request and classified as standard, normal or emergency. Emergency changes are reviewed and approved retrospectively within 2 business days.</t>
        </is>
      </c>
      <c r="D30" s="3" t="inlineStr">
        <is>
          <t>CC8.1</t>
        </is>
      </c>
      <c r="E30" s="3" t="inlineStr">
        <is>
          <t>A.8.32</t>
        </is>
      </c>
      <c r="F30" s="3" t="inlineStr">
        <is>
          <t>PR.PS</t>
        </is>
      </c>
      <c r="G30" s="3" t="inlineStr">
        <is>
          <t>VP Engineering</t>
        </is>
      </c>
      <c r="H30" s="3" t="inlineStr">
        <is>
          <t>Per change</t>
        </is>
      </c>
      <c r="I30" s="3" t="inlineStr">
        <is>
          <t>Change population (merged PRs and deployments); linked Jira tickets; emergency change log</t>
        </is>
      </c>
      <c r="J30" s="3" t="inlineStr">
        <is>
          <t>Partial</t>
        </is>
      </c>
      <c r="K30" s="3" t="inlineStr">
        <is>
          <t>No written process. 19 of 25 sampled PRs (76%) linked to a Jira ticket. No emergency category: hotfixes look the same as normal changes.</t>
        </is>
      </c>
      <c r="L30" s="3" t="inlineStr">
        <is>
          <t>G-13</t>
        </is>
      </c>
      <c r="M30" s="3" t="inlineStr">
        <is>
          <t>R-05</t>
        </is>
      </c>
    </row>
    <row r="31">
      <c r="A31" s="3" t="inlineStr">
        <is>
          <t>CHG-02</t>
        </is>
      </c>
      <c r="B31" s="3" t="inlineStr">
        <is>
          <t>Change management</t>
        </is>
      </c>
      <c r="C31" s="3" t="inlineStr">
        <is>
          <t>Branch protection on the default branch of every production repository requires a pull request, at least one approving review from someone other than the author, passing status checks, and no administrator bypass.</t>
        </is>
      </c>
      <c r="D31" s="3" t="inlineStr">
        <is>
          <t>CC8.1</t>
        </is>
      </c>
      <c r="E31" s="3" t="inlineStr">
        <is>
          <t>A.8.32; A.8.4</t>
        </is>
      </c>
      <c r="F31" s="3" t="inlineStr">
        <is>
          <t>PR.PS</t>
        </is>
      </c>
      <c r="G31" s="3" t="inlineStr">
        <is>
          <t>DevOps Lead</t>
        </is>
      </c>
      <c r="H31" s="3" t="inlineStr">
        <is>
          <t>Continuous; settings reviewed quarterly</t>
        </is>
      </c>
      <c r="I31" s="3" t="inlineStr">
        <is>
          <t>Ruleset or branch protection export per repo; list of bypass actors; sampled PRs</t>
        </is>
      </c>
      <c r="J31" s="3" t="inlineStr">
        <is>
          <t>Partial</t>
        </is>
      </c>
      <c r="K31" s="3" t="inlineStr">
        <is>
          <t>Rulesets on app-api and app-web meet the standard. platform-infra (Terraform for production) has no branch protection, and 3 of 25 sampled PRs were merged without review, all in that repo. 4 org owners can bypass rulesets.</t>
        </is>
      </c>
      <c r="L31" s="3" t="inlineStr">
        <is>
          <t>G-13</t>
        </is>
      </c>
      <c r="M31" s="3" t="inlineStr">
        <is>
          <t>R-05</t>
        </is>
      </c>
    </row>
    <row r="32">
      <c r="A32" s="3" t="inlineStr">
        <is>
          <t>CHG-03</t>
        </is>
      </c>
      <c r="B32" s="3" t="inlineStr">
        <is>
          <t>Change management</t>
        </is>
      </c>
      <c r="C32" s="3" t="inlineStr">
        <is>
          <t>Deployments to production run only through GitHub Actions using OIDC federation. The 'production' environment requires approval from a release approver other than the person who triggered the run. Engineers have no standing write access to production, and human changes made outside the pipeline are detected and reviewed.</t>
        </is>
      </c>
      <c r="D32" s="3" t="inlineStr">
        <is>
          <t>CC8.1; CC6.1</t>
        </is>
      </c>
      <c r="E32" s="3" t="inlineStr">
        <is>
          <t>A.8.31; A.8.32</t>
        </is>
      </c>
      <c r="F32" s="3" t="inlineStr">
        <is>
          <t>PR.PS</t>
        </is>
      </c>
      <c r="G32" s="3" t="inlineStr">
        <is>
          <t>DevOps Lead</t>
        </is>
      </c>
      <c r="H32" s="3" t="inlineStr">
        <is>
          <t>Per deployment; out-of-band report monthly</t>
        </is>
      </c>
      <c r="I32" s="3" t="inlineStr">
        <is>
          <t>Workflow files; environment protection settings; Azure Activity log report of non-pipeline write operations</t>
        </is>
      </c>
      <c r="J32" s="3" t="inlineStr">
        <is>
          <t>Partial</t>
        </is>
      </c>
      <c r="K32" s="3" t="inlineStr">
        <is>
          <t>Pipeline design is sound, but 41 write operations were made by named users in the production resource group outside the pipeline in the last 30 days (app settings, NSG rule edits, AKS scaling). None were reviewed. Self-approval is possible (see AC-07).</t>
        </is>
      </c>
      <c r="L32" s="3" t="inlineStr">
        <is>
          <t>G-13</t>
        </is>
      </c>
      <c r="M32" s="3" t="inlineStr">
        <is>
          <t>R-05</t>
        </is>
      </c>
    </row>
    <row r="33">
      <c r="A33" s="3" t="inlineStr">
        <is>
          <t>CHG-04</t>
        </is>
      </c>
      <c r="B33" s="3" t="inlineStr">
        <is>
          <t>Change management</t>
        </is>
      </c>
      <c r="C33" s="3" t="inlineStr">
        <is>
          <t>Secure development: CodeQL code scanning, Dependabot alerts and secret scanning with push protection are enabled on production repositories. Development, staging and production run in separate Azure subscriptions.</t>
        </is>
      </c>
      <c r="D33" s="3" t="inlineStr">
        <is>
          <t>CC8.1; CC7.1</t>
        </is>
      </c>
      <c r="E33" s="3" t="inlineStr">
        <is>
          <t>A.8.25; A.8.28; A.8.29; A.8.31</t>
        </is>
      </c>
      <c r="F33" s="3" t="inlineStr">
        <is>
          <t>PR.PS</t>
        </is>
      </c>
      <c r="G33" s="3" t="inlineStr">
        <is>
          <t>VP Engineering</t>
        </is>
      </c>
      <c r="H33" s="3" t="inlineStr">
        <is>
          <t>Continuous</t>
        </is>
      </c>
      <c r="I33" s="3" t="inlineStr">
        <is>
          <t>GitHub Advanced Security settings; alert dashboard; subscription structure</t>
        </is>
      </c>
      <c r="J33" s="3" t="inlineStr">
        <is>
          <t>Implemented</t>
        </is>
      </c>
      <c r="K33" s="3" t="inlineStr">
        <is>
          <t>Enabled on all 3 production repos. Observation: 11 high Dependabot alerts older than 60 days; these should fall under the OPS-01 SLA.</t>
        </is>
      </c>
      <c r="L33" s="3" t="inlineStr"/>
      <c r="M33" s="3" t="inlineStr">
        <is>
          <t>R-06</t>
        </is>
      </c>
    </row>
    <row r="34">
      <c r="A34" s="3" t="inlineStr">
        <is>
          <t>BCP-01</t>
        </is>
      </c>
      <c r="B34" s="3" t="inlineStr">
        <is>
          <t>Risk mitigation and vendors</t>
        </is>
      </c>
      <c r="C34" s="3" t="inlineStr">
        <is>
          <t>A business continuity and disaster recovery plan covers the production platform (Canada Central primary, Canada East recovery) with defined RTO and RPO and is tested annually. Cyber insurance coverage is reviewed annually.</t>
        </is>
      </c>
      <c r="D34" s="3" t="inlineStr">
        <is>
          <t>CC9.1</t>
        </is>
      </c>
      <c r="E34" s="3" t="inlineStr">
        <is>
          <t>A.5.29; A.5.30</t>
        </is>
      </c>
      <c r="F34" s="3" t="inlineStr">
        <is>
          <t>PR.IR; RC.RP</t>
        </is>
      </c>
      <c r="G34" s="3" t="inlineStr">
        <is>
          <t>CTO</t>
        </is>
      </c>
      <c r="H34" s="3" t="inlineStr">
        <is>
          <t>Annual</t>
        </is>
      </c>
      <c r="I34" s="3" t="inlineStr">
        <is>
          <t>BC/DR plan; DR test report; insurance certificate</t>
        </is>
      </c>
      <c r="J34" s="3" t="inlineStr">
        <is>
          <t>Missing</t>
        </is>
      </c>
      <c r="K34" s="3" t="inlineStr">
        <is>
          <t>No BC/DR plan or test. Infrastructure is defined in Terraform, which helps a rebuild, but there is no recovery runbook. Cyber insurance is in place (renewed June 2026).</t>
        </is>
      </c>
      <c r="L34" s="3" t="inlineStr">
        <is>
          <t>G-12</t>
        </is>
      </c>
      <c r="M34" s="3" t="inlineStr">
        <is>
          <t>R-09</t>
        </is>
      </c>
    </row>
    <row r="35">
      <c r="A35" s="3" t="inlineStr">
        <is>
          <t>VND-01</t>
        </is>
      </c>
      <c r="B35" s="3" t="inlineStr">
        <is>
          <t>Risk mitigation and vendors</t>
        </is>
      </c>
      <c r="C35" s="3" t="inlineStr">
        <is>
          <t>A vendor inventory assigns each vendor a security tier (Tier 1: customer data or production access; Tier 2: company confidential data; Tier 3: no data access) and is reconciled to the NetSuite AP vendor master quarterly.</t>
        </is>
      </c>
      <c r="D35" s="3" t="inlineStr">
        <is>
          <t>CC9.2</t>
        </is>
      </c>
      <c r="E35" s="3" t="inlineStr">
        <is>
          <t>A.5.19</t>
        </is>
      </c>
      <c r="F35" s="3" t="inlineStr">
        <is>
          <t>GV.SC</t>
        </is>
      </c>
      <c r="G35" s="3" t="inlineStr">
        <is>
          <t>Controller (with Director, IT &amp; Security)</t>
        </is>
      </c>
      <c r="H35" s="3" t="inlineStr">
        <is>
          <t>Reconciled quarterly</t>
        </is>
      </c>
      <c r="I35" s="3" t="inlineStr">
        <is>
          <t>Vendor inventory with tier, owner and data types; reconciliation to AP vendor master</t>
        </is>
      </c>
      <c r="J35" s="3" t="inlineStr">
        <is>
          <t>Partial</t>
        </is>
      </c>
      <c r="K35" s="3" t="inlineStr">
        <is>
          <t>NetSuite has 214 active vendors; 23 identified in this assessment as having system or data access. Vendors are created in NetSuite with no security review step, and 4 SaaS tools are paid by corporate card so never reach the vendor master.</t>
        </is>
      </c>
      <c r="L35" s="3" t="inlineStr">
        <is>
          <t>G-14</t>
        </is>
      </c>
      <c r="M35" s="3" t="inlineStr">
        <is>
          <t>R-10</t>
        </is>
      </c>
    </row>
    <row r="36">
      <c r="A36" s="3" t="inlineStr">
        <is>
          <t>VND-02</t>
        </is>
      </c>
      <c r="B36" s="3" t="inlineStr">
        <is>
          <t>Risk mitigation and vendors</t>
        </is>
      </c>
      <c r="C36" s="3" t="inlineStr">
        <is>
          <t>Before onboarding Tier 1 and 2 vendors, security due diligence is completed (SOC 2 report or questionnaire) and contracts include security, confidentiality, breach notification and data return/deletion terms. DPAs are in place for all subprocessors.</t>
        </is>
      </c>
      <c r="D36" s="3" t="inlineStr">
        <is>
          <t>CC9.2; C1.1</t>
        </is>
      </c>
      <c r="E36" s="3" t="inlineStr">
        <is>
          <t>A.5.19; A.5.20</t>
        </is>
      </c>
      <c r="F36" s="3" t="inlineStr">
        <is>
          <t>GV.SC</t>
        </is>
      </c>
      <c r="G36" s="3" t="inlineStr">
        <is>
          <t>Director, IT &amp; Security</t>
        </is>
      </c>
      <c r="H36" s="3" t="inlineStr">
        <is>
          <t>Per new vendor; at renewal</t>
        </is>
      </c>
      <c r="I36" s="3" t="inlineStr">
        <is>
          <t>Due diligence file; signed contract or DPA; approval record</t>
        </is>
      </c>
      <c r="J36" s="3" t="inlineStr">
        <is>
          <t>Missing</t>
        </is>
      </c>
      <c r="K36" s="3" t="inlineStr">
        <is>
          <t>No due diligence process. DPAs on file for 3 of 5 public subprocessors. Missing: Atlassian (online terms accepted, not filed) and the offshore QA firm, whose MSA has an NDA but no data protection or deletion terms even though it has staging access (see CONF-03).</t>
        </is>
      </c>
      <c r="L36" s="3" t="inlineStr">
        <is>
          <t>G-14</t>
        </is>
      </c>
      <c r="M36" s="3" t="inlineStr">
        <is>
          <t>R-10; R-11</t>
        </is>
      </c>
    </row>
    <row r="37">
      <c r="A37" s="3" t="inlineStr">
        <is>
          <t>VND-03</t>
        </is>
      </c>
      <c r="B37" s="3" t="inlineStr">
        <is>
          <t>Risk mitigation and vendors</t>
        </is>
      </c>
      <c r="C37" s="3" t="inlineStr">
        <is>
          <t>SOC 2 reports for carved-out subservice organizations and Tier 1 vendors (Microsoft Azure, GitHub, Zendesk, Twilio SendGrid, Atlassian) are obtained and reviewed annually: opinion, exceptions, period covered and bridge letters. Complementary user entity controls (CUECs) are mapped to Quillfield controls.</t>
        </is>
      </c>
      <c r="D37" s="3" t="inlineStr">
        <is>
          <t>CC9.2</t>
        </is>
      </c>
      <c r="E37" s="3" t="inlineStr">
        <is>
          <t>A.5.22; A.5.23</t>
        </is>
      </c>
      <c r="F37" s="3" t="inlineStr">
        <is>
          <t>GV.SC</t>
        </is>
      </c>
      <c r="G37" s="3" t="inlineStr">
        <is>
          <t>Director, IT &amp; Security</t>
        </is>
      </c>
      <c r="H37" s="3" t="inlineStr">
        <is>
          <t>Annual</t>
        </is>
      </c>
      <c r="I37" s="3" t="inlineStr">
        <is>
          <t>Review memo per report; CUEC mapping; bridge letters</t>
        </is>
      </c>
      <c r="J37" s="3" t="inlineStr">
        <is>
          <t>Missing</t>
        </is>
      </c>
      <c r="K37" s="3" t="inlineStr">
        <is>
          <t>No vendor SOC reports on file. Without this review the system description cannot properly support the carve-out of Azure and GitHub.</t>
        </is>
      </c>
      <c r="L37" s="3" t="inlineStr">
        <is>
          <t>G-14</t>
        </is>
      </c>
      <c r="M37" s="3" t="inlineStr">
        <is>
          <t>R-10</t>
        </is>
      </c>
    </row>
    <row r="38">
      <c r="A38" s="3" t="inlineStr">
        <is>
          <t>CONF-01</t>
        </is>
      </c>
      <c r="B38" s="3" t="inlineStr">
        <is>
          <t>Confidentiality</t>
        </is>
      </c>
      <c r="C38" s="3" t="inlineStr">
        <is>
          <t>A data classification standard (Public, Internal, Confidential, Restricted) sets handling rules. Customer invoices and payee bank data are Restricted. Microsoft Purview sensitivity labels are applied to M365 content.</t>
        </is>
      </c>
      <c r="D38" s="3" t="inlineStr">
        <is>
          <t>C1.1</t>
        </is>
      </c>
      <c r="E38" s="3" t="inlineStr">
        <is>
          <t>A.5.12; A.5.13</t>
        </is>
      </c>
      <c r="F38" s="3" t="inlineStr">
        <is>
          <t>ID.AM; PR.DS</t>
        </is>
      </c>
      <c r="G38" s="3" t="inlineStr">
        <is>
          <t>Director, IT &amp; Security</t>
        </is>
      </c>
      <c r="H38" s="3" t="inlineStr">
        <is>
          <t>Reviewed annually</t>
        </is>
      </c>
      <c r="I38" s="3" t="inlineStr">
        <is>
          <t>Approved classification standard; Purview label policy; data store classification (RISK-02)</t>
        </is>
      </c>
      <c r="J38" s="3" t="inlineStr">
        <is>
          <t>Partial</t>
        </is>
      </c>
      <c r="K38" s="3" t="inlineStr">
        <is>
          <t>Draft standard exists (2024), unapproved. Purview labels are configured but not published to users.</t>
        </is>
      </c>
      <c r="L38" s="3" t="inlineStr">
        <is>
          <t>G-15</t>
        </is>
      </c>
      <c r="M38" s="3" t="inlineStr">
        <is>
          <t>R-13</t>
        </is>
      </c>
    </row>
    <row r="39">
      <c r="A39" s="3" t="inlineStr">
        <is>
          <t>CONF-02</t>
        </is>
      </c>
      <c r="B39" s="3" t="inlineStr">
        <is>
          <t>Confidentiality</t>
        </is>
      </c>
      <c r="C39" s="3" t="inlineStr">
        <is>
          <t>Customer data is retained per contract and deleted within 90 days of contract termination. Deletion follows a runbook, is verified, and is confirmed to the customer in writing.</t>
        </is>
      </c>
      <c r="D39" s="3" t="inlineStr">
        <is>
          <t>C1.2</t>
        </is>
      </c>
      <c r="E39" s="3" t="inlineStr">
        <is>
          <t>A.8.10; A.5.33</t>
        </is>
      </c>
      <c r="F39" s="3" t="inlineStr">
        <is>
          <t>PR.DS</t>
        </is>
      </c>
      <c r="G39" s="3" t="inlineStr">
        <is>
          <t>VP Engineering</t>
        </is>
      </c>
      <c r="H39" s="3" t="inlineStr">
        <is>
          <t>Per termination; quarterly check of churned customers</t>
        </is>
      </c>
      <c r="I39" s="3" t="inlineStr">
        <is>
          <t>Customer termination list; deletion tickets with verification query; confirmation letters</t>
        </is>
      </c>
      <c r="J39" s="3" t="inlineStr">
        <is>
          <t>Missing</t>
        </is>
      </c>
      <c r="K39" s="3" t="inlineStr">
        <is>
          <t>No deletion process. 4 customers that left in 2024-2025 still have full data in production Azure SQL, against an MSA commitment to delete within 90 days.</t>
        </is>
      </c>
      <c r="L39" s="3" t="inlineStr">
        <is>
          <t>G-15</t>
        </is>
      </c>
      <c r="M39" s="3" t="inlineStr">
        <is>
          <t>R-12</t>
        </is>
      </c>
    </row>
    <row r="40">
      <c r="A40" s="3" t="inlineStr">
        <is>
          <t>CONF-03</t>
        </is>
      </c>
      <c r="B40" s="3" t="inlineStr">
        <is>
          <t>Confidentiality</t>
        </is>
      </c>
      <c r="C40" s="3" t="inlineStr">
        <is>
          <t>Production customer data is not copied to non-production environments. Where realistic test data is needed it is masked or synthetic.</t>
        </is>
      </c>
      <c r="D40" s="3" t="inlineStr">
        <is>
          <t>C1.1</t>
        </is>
      </c>
      <c r="E40" s="3" t="inlineStr">
        <is>
          <t>A.8.33; A.8.11; A.8.31</t>
        </is>
      </c>
      <c r="F40" s="3" t="inlineStr">
        <is>
          <t>PR.DS</t>
        </is>
      </c>
      <c r="G40" s="3" t="inlineStr">
        <is>
          <t>VP Engineering</t>
        </is>
      </c>
      <c r="H40" s="3" t="inlineStr">
        <is>
          <t>Continuous</t>
        </is>
      </c>
      <c r="I40" s="3" t="inlineStr">
        <is>
          <t>Data refresh procedure; masking script; sample check of the staging database</t>
        </is>
      </c>
      <c r="J40" s="3" t="inlineStr">
        <is>
          <t>Missing</t>
        </is>
      </c>
      <c r="K40" s="3" t="inlineStr">
        <is>
          <t>Staging is refreshed monthly from a production backup with no masking. 6 staff at the offshore QA firm can access it, and it has weaker access controls (shared SQL login, no PIM).</t>
        </is>
      </c>
      <c r="L40" s="3" t="inlineStr">
        <is>
          <t>G-15</t>
        </is>
      </c>
      <c r="M40" s="3" t="inlineStr">
        <is>
          <t>R-11</t>
        </is>
      </c>
    </row>
    <row r="41">
      <c r="A41" s="3" t="inlineStr">
        <is>
          <t>CONF-04</t>
        </is>
      </c>
      <c r="B41" s="3" t="inlineStr">
        <is>
          <t>Confidentiality</t>
        </is>
      </c>
      <c r="C41" s="3" t="inlineStr">
        <is>
          <t>Data leakage controls: SharePoint and OneDrive sharing is limited to authenticated guests (no 'Anyone' links); Purview DLP blocks external sharing of content matching bank account patterns; Storage accounts deny public blob access.</t>
        </is>
      </c>
      <c r="D41" s="3" t="inlineStr">
        <is>
          <t>C1.1; CC6.7</t>
        </is>
      </c>
      <c r="E41" s="3" t="inlineStr">
        <is>
          <t>A.8.12; A.5.14</t>
        </is>
      </c>
      <c r="F41" s="3" t="inlineStr">
        <is>
          <t>PR.DS</t>
        </is>
      </c>
      <c r="G41" s="3" t="inlineStr">
        <is>
          <t>IT Administrator</t>
        </is>
      </c>
      <c r="H41" s="3" t="inlineStr">
        <is>
          <t>Continuous; sharing report reviewed quarterly</t>
        </is>
      </c>
      <c r="I41" s="3" t="inlineStr">
        <is>
          <t>SharePoint sharing settings; DLP policy export and incident report; Azure Policy compliance for public access</t>
        </is>
      </c>
      <c r="J41" s="3" t="inlineStr">
        <is>
          <t>Partial</t>
        </is>
      </c>
      <c r="K41" s="3" t="inlineStr">
        <is>
          <t>Storage public access is denied by Azure Policy. The tenant allows 'Anyone' links: 340 active anonymous links, 27 in customer implementation folders. DLP policies are in test mode only.</t>
        </is>
      </c>
      <c r="L41" s="3" t="inlineStr">
        <is>
          <t>G-15</t>
        </is>
      </c>
      <c r="M41" s="3" t="inlineStr">
        <is>
          <t>R-13</t>
        </is>
      </c>
    </row>
  </sheetData>
  <autoFilter ref="A1:M41"/>
  <conditionalFormatting sqref="J2:J41">
    <cfRule type="cellIs" priority="1" operator="equal" dxfId="0">
      <formula>"Implemented"</formula>
    </cfRule>
    <cfRule type="cellIs" priority="2" operator="equal" dxfId="1">
      <formula>"Partial"</formula>
    </cfRule>
    <cfRule type="cellIs" priority="3" operator="equal" dxfId="2">
      <formula>"Missing"</formula>
    </cfRule>
  </conditionalFormatting>
  <dataValidations count="1">
    <dataValidation sqref="J2:J41" showDropDown="0" showInputMessage="0" showErrorMessage="0" allowBlank="0" type="list">
      <formula1>"Implemented,Partial,Missing"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10" customWidth="1" min="3" max="3"/>
    <col width="13" customWidth="1" min="4" max="4"/>
    <col width="10" customWidth="1" min="5" max="5"/>
    <col width="10" customWidth="1" min="6" max="6"/>
    <col width="12" customWidth="1" min="7" max="7"/>
  </cols>
  <sheetData>
    <row r="1">
      <c r="A1" s="2" t="inlineStr">
        <is>
          <t>Domain</t>
        </is>
      </c>
      <c r="B1" s="2" t="inlineStr">
        <is>
          <t>TSC</t>
        </is>
      </c>
      <c r="C1" s="2" t="inlineStr">
        <is>
          <t>Controls</t>
        </is>
      </c>
      <c r="D1" s="2" t="inlineStr">
        <is>
          <t>Implemented</t>
        </is>
      </c>
      <c r="E1" s="2" t="inlineStr">
        <is>
          <t>Partial</t>
        </is>
      </c>
      <c r="F1" s="2" t="inlineStr">
        <is>
          <t>Missing</t>
        </is>
      </c>
      <c r="G1" s="2" t="inlineStr">
        <is>
          <t>Readiness %</t>
        </is>
      </c>
    </row>
    <row r="2">
      <c r="A2" s="3" t="inlineStr">
        <is>
          <t>Control environment and communication</t>
        </is>
      </c>
      <c r="B2" s="3" t="inlineStr">
        <is>
          <t>CC1-CC2</t>
        </is>
      </c>
      <c r="C2" s="3">
        <f>COUNTIF(Controls!$B:$B,A2)</f>
        <v/>
      </c>
      <c r="D2" s="3">
        <f>COUNTIFS(Controls!$B:$B,A2,Controls!$J:$J,"Implemented")</f>
        <v/>
      </c>
      <c r="E2" s="3">
        <f>COUNTIFS(Controls!$B:$B,A2,Controls!$J:$J,"Partial")</f>
        <v/>
      </c>
      <c r="F2" s="3">
        <f>COUNTIFS(Controls!$B:$B,A2,Controls!$J:$J,"Missing")</f>
        <v/>
      </c>
      <c r="G2" s="4">
        <f>IF(C2=0,0,(2*D2+E2)/(2*C2))</f>
        <v/>
      </c>
    </row>
    <row r="3">
      <c r="A3" s="3" t="inlineStr">
        <is>
          <t>Risk assessment and monitoring</t>
        </is>
      </c>
      <c r="B3" s="3" t="inlineStr">
        <is>
          <t>CC3-CC5</t>
        </is>
      </c>
      <c r="C3" s="3">
        <f>COUNTIF(Controls!$B:$B,A3)</f>
        <v/>
      </c>
      <c r="D3" s="3">
        <f>COUNTIFS(Controls!$B:$B,A3,Controls!$J:$J,"Implemented")</f>
        <v/>
      </c>
      <c r="E3" s="3">
        <f>COUNTIFS(Controls!$B:$B,A3,Controls!$J:$J,"Partial")</f>
        <v/>
      </c>
      <c r="F3" s="3">
        <f>COUNTIFS(Controls!$B:$B,A3,Controls!$J:$J,"Missing")</f>
        <v/>
      </c>
      <c r="G3" s="4">
        <f>IF(C3=0,0,(2*D3+E3)/(2*C3))</f>
        <v/>
      </c>
    </row>
    <row r="4">
      <c r="A4" s="3" t="inlineStr">
        <is>
          <t>Logical and physical access</t>
        </is>
      </c>
      <c r="B4" s="3" t="inlineStr">
        <is>
          <t>CC6</t>
        </is>
      </c>
      <c r="C4" s="3">
        <f>COUNTIF(Controls!$B:$B,A4)</f>
        <v/>
      </c>
      <c r="D4" s="3">
        <f>COUNTIFS(Controls!$B:$B,A4,Controls!$J:$J,"Implemented")</f>
        <v/>
      </c>
      <c r="E4" s="3">
        <f>COUNTIFS(Controls!$B:$B,A4,Controls!$J:$J,"Partial")</f>
        <v/>
      </c>
      <c r="F4" s="3">
        <f>COUNTIFS(Controls!$B:$B,A4,Controls!$J:$J,"Missing")</f>
        <v/>
      </c>
      <c r="G4" s="4">
        <f>IF(C4=0,0,(2*D4+E4)/(2*C4))</f>
        <v/>
      </c>
    </row>
    <row r="5">
      <c r="A5" s="3" t="inlineStr">
        <is>
          <t>System operations</t>
        </is>
      </c>
      <c r="B5" s="3" t="inlineStr">
        <is>
          <t>CC7</t>
        </is>
      </c>
      <c r="C5" s="3">
        <f>COUNTIF(Controls!$B:$B,A5)</f>
        <v/>
      </c>
      <c r="D5" s="3">
        <f>COUNTIFS(Controls!$B:$B,A5,Controls!$J:$J,"Implemented")</f>
        <v/>
      </c>
      <c r="E5" s="3">
        <f>COUNTIFS(Controls!$B:$B,A5,Controls!$J:$J,"Partial")</f>
        <v/>
      </c>
      <c r="F5" s="3">
        <f>COUNTIFS(Controls!$B:$B,A5,Controls!$J:$J,"Missing")</f>
        <v/>
      </c>
      <c r="G5" s="4">
        <f>IF(C5=0,0,(2*D5+E5)/(2*C5))</f>
        <v/>
      </c>
    </row>
    <row r="6">
      <c r="A6" s="3" t="inlineStr">
        <is>
          <t>Change management</t>
        </is>
      </c>
      <c r="B6" s="3" t="inlineStr">
        <is>
          <t>CC8</t>
        </is>
      </c>
      <c r="C6" s="3">
        <f>COUNTIF(Controls!$B:$B,A6)</f>
        <v/>
      </c>
      <c r="D6" s="3">
        <f>COUNTIFS(Controls!$B:$B,A6,Controls!$J:$J,"Implemented")</f>
        <v/>
      </c>
      <c r="E6" s="3">
        <f>COUNTIFS(Controls!$B:$B,A6,Controls!$J:$J,"Partial")</f>
        <v/>
      </c>
      <c r="F6" s="3">
        <f>COUNTIFS(Controls!$B:$B,A6,Controls!$J:$J,"Missing")</f>
        <v/>
      </c>
      <c r="G6" s="4">
        <f>IF(C6=0,0,(2*D6+E6)/(2*C6))</f>
        <v/>
      </c>
    </row>
    <row r="7">
      <c r="A7" s="3" t="inlineStr">
        <is>
          <t>Risk mitigation and vendors</t>
        </is>
      </c>
      <c r="B7" s="3" t="inlineStr">
        <is>
          <t>CC9</t>
        </is>
      </c>
      <c r="C7" s="3">
        <f>COUNTIF(Controls!$B:$B,A7)</f>
        <v/>
      </c>
      <c r="D7" s="3">
        <f>COUNTIFS(Controls!$B:$B,A7,Controls!$J:$J,"Implemented")</f>
        <v/>
      </c>
      <c r="E7" s="3">
        <f>COUNTIFS(Controls!$B:$B,A7,Controls!$J:$J,"Partial")</f>
        <v/>
      </c>
      <c r="F7" s="3">
        <f>COUNTIFS(Controls!$B:$B,A7,Controls!$J:$J,"Missing")</f>
        <v/>
      </c>
      <c r="G7" s="4">
        <f>IF(C7=0,0,(2*D7+E7)/(2*C7))</f>
        <v/>
      </c>
    </row>
    <row r="8">
      <c r="A8" s="3" t="inlineStr">
        <is>
          <t>Confidentiality</t>
        </is>
      </c>
      <c r="B8" s="3" t="inlineStr">
        <is>
          <t>C1</t>
        </is>
      </c>
      <c r="C8" s="3">
        <f>COUNTIF(Controls!$B:$B,A8)</f>
        <v/>
      </c>
      <c r="D8" s="3">
        <f>COUNTIFS(Controls!$B:$B,A8,Controls!$J:$J,"Implemented")</f>
        <v/>
      </c>
      <c r="E8" s="3">
        <f>COUNTIFS(Controls!$B:$B,A8,Controls!$J:$J,"Partial")</f>
        <v/>
      </c>
      <c r="F8" s="3">
        <f>COUNTIFS(Controls!$B:$B,A8,Controls!$J:$J,"Missing")</f>
        <v/>
      </c>
      <c r="G8" s="4">
        <f>IF(C8=0,0,(2*D8+E8)/(2*C8))</f>
        <v/>
      </c>
    </row>
    <row r="9">
      <c r="A9" s="5" t="inlineStr">
        <is>
          <t>Total</t>
        </is>
      </c>
      <c r="B9" s="5" t="inlineStr"/>
      <c r="C9" s="5">
        <f>SUM(C2:C8)</f>
        <v/>
      </c>
      <c r="D9" s="5">
        <f>SUM(D2:D8)</f>
        <v/>
      </c>
      <c r="E9" s="5">
        <f>SUM(E2:E8)</f>
        <v/>
      </c>
      <c r="F9" s="5">
        <f>SUM(F2:F8)</f>
        <v/>
      </c>
      <c r="G9" s="6">
        <f>(2*D9+E9)/(2*C9)</f>
        <v/>
      </c>
    </row>
  </sheetData>
  <conditionalFormatting sqref="G2:G9">
    <cfRule type="cellIs" priority="1" operator="lessThan" dxfId="2">
      <formula>0.4</formula>
    </cfRule>
    <cfRule type="cellIs" priority="2" operator="between" dxfId="1">
      <formula>0.4</formula>
      <formula>0.7</formula>
    </cfRule>
    <cfRule type="cellIs" priority="3" operator="greaterThan" dxfId="0">
      <formula>0.7</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2026-10-19T16:52:42Z</dcterms:created>
  <dcterms:modified xmlns:dcterms="http://purl.org/dc/terms/" xmlns:xsi="http://www.w3.org/2001/XMLSchema-instance" xsi:type="dcterms:W3CDTF">2026-10-19T16:52:42Z</dcterms:modified>
</cp:coreProperties>
</file>